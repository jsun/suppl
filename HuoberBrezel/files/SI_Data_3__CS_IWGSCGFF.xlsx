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EFDFA28E-3ED2-FC43-B266-3FDE6CB11EBA}" xr6:coauthVersionLast="45" xr6:coauthVersionMax="45" xr10:uidLastSave="{00000000-0000-0000-0000-000000000000}"/>
  <bookViews>
    <workbookView xWindow="0" yWindow="0" windowWidth="28800" windowHeight="18000" xr2:uid="{0A1B866E-BAB2-5B48-9BA1-056163FF4A88}"/>
  </bookViews>
  <sheets>
    <sheet name="Sheet1" sheetId="5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6" l="1"/>
  <c r="I7" i="6"/>
  <c r="I6" i="6"/>
  <c r="I5" i="6"/>
  <c r="I4" i="6"/>
  <c r="I3" i="6"/>
  <c r="K8" i="6"/>
  <c r="K7" i="6"/>
  <c r="K6" i="6"/>
  <c r="K5" i="6"/>
  <c r="K4" i="6"/>
  <c r="K3" i="6"/>
  <c r="J8" i="6"/>
  <c r="J7" i="6"/>
  <c r="J6" i="6"/>
  <c r="J5" i="6"/>
  <c r="J4" i="6"/>
  <c r="J3" i="6"/>
  <c r="K70" i="5" l="1"/>
  <c r="K69" i="5"/>
  <c r="K58" i="5"/>
  <c r="K57" i="5"/>
  <c r="K46" i="5"/>
  <c r="K45" i="5"/>
  <c r="K34" i="5"/>
  <c r="K33" i="5"/>
  <c r="K22" i="5"/>
  <c r="K21" i="5"/>
  <c r="K10" i="5"/>
  <c r="K9" i="5"/>
  <c r="G70" i="5"/>
  <c r="F70" i="5"/>
  <c r="E70" i="5"/>
  <c r="D70" i="5"/>
  <c r="G69" i="5"/>
  <c r="F69" i="5"/>
  <c r="E69" i="5"/>
  <c r="D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G58" i="5"/>
  <c r="F58" i="5"/>
  <c r="E58" i="5"/>
  <c r="D58" i="5"/>
  <c r="G57" i="5"/>
  <c r="F57" i="5"/>
  <c r="E57" i="5"/>
  <c r="D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G46" i="5"/>
  <c r="F46" i="5"/>
  <c r="E46" i="5"/>
  <c r="D46" i="5"/>
  <c r="G45" i="5"/>
  <c r="F45" i="5"/>
  <c r="E45" i="5"/>
  <c r="D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G34" i="5"/>
  <c r="F34" i="5"/>
  <c r="E34" i="5"/>
  <c r="D34" i="5"/>
  <c r="G33" i="5"/>
  <c r="F33" i="5"/>
  <c r="E33" i="5"/>
  <c r="D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G22" i="5"/>
  <c r="F22" i="5"/>
  <c r="E22" i="5"/>
  <c r="D22" i="5"/>
  <c r="G21" i="5"/>
  <c r="F21" i="5"/>
  <c r="E21" i="5"/>
  <c r="D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7" i="5"/>
  <c r="J6" i="5"/>
  <c r="I5" i="5"/>
  <c r="I3" i="5"/>
  <c r="J3" i="5"/>
  <c r="I4" i="5"/>
  <c r="J4" i="5"/>
  <c r="J5" i="5"/>
  <c r="I6" i="5"/>
  <c r="I7" i="5"/>
  <c r="I8" i="5"/>
  <c r="J8" i="5"/>
  <c r="H4" i="5"/>
  <c r="H5" i="5"/>
  <c r="H6" i="5"/>
  <c r="H7" i="5"/>
  <c r="H8" i="5"/>
  <c r="H3" i="5"/>
  <c r="J70" i="5" l="1"/>
  <c r="J58" i="5"/>
  <c r="J45" i="5"/>
  <c r="J34" i="5"/>
  <c r="H21" i="5"/>
  <c r="H69" i="5"/>
  <c r="J69" i="5"/>
  <c r="I69" i="5"/>
  <c r="H57" i="5"/>
  <c r="J57" i="5"/>
  <c r="I57" i="5"/>
  <c r="I45" i="5"/>
  <c r="J46" i="5"/>
  <c r="H45" i="5"/>
  <c r="I46" i="5"/>
  <c r="H33" i="5"/>
  <c r="J33" i="5"/>
  <c r="I33" i="5"/>
  <c r="I22" i="5"/>
  <c r="J21" i="5"/>
  <c r="I21" i="5"/>
  <c r="J22" i="5"/>
  <c r="H70" i="5"/>
  <c r="I70" i="5"/>
  <c r="H58" i="5"/>
  <c r="I58" i="5"/>
  <c r="H46" i="5"/>
  <c r="H34" i="5"/>
  <c r="I34" i="5"/>
  <c r="H22" i="5"/>
  <c r="F9" i="5"/>
  <c r="G9" i="5"/>
  <c r="F10" i="5"/>
  <c r="G10" i="5"/>
  <c r="E9" i="5"/>
  <c r="E10" i="5"/>
  <c r="D10" i="5"/>
  <c r="D9" i="5"/>
  <c r="H9" i="5" l="1"/>
  <c r="I9" i="5"/>
  <c r="I10" i="5"/>
  <c r="H10" i="5" l="1"/>
  <c r="J10" i="5"/>
  <c r="J9" i="5"/>
</calcChain>
</file>

<file path=xl/sharedStrings.xml><?xml version="1.0" encoding="utf-8"?>
<sst xmlns="http://schemas.openxmlformats.org/spreadsheetml/2006/main" count="253" uniqueCount="60">
  <si>
    <t>library name</t>
  </si>
  <si>
    <t>replicate</t>
  </si>
  <si>
    <t>sampling date</t>
  </si>
  <si>
    <t>#reads in FASTQ</t>
  </si>
  <si>
    <t>E/D</t>
  </si>
  <si>
    <t>average</t>
  </si>
  <si>
    <t>s.d</t>
  </si>
  <si>
    <t>20181109.A-TaeRS_1_Tae_RS1_1</t>
  </si>
  <si>
    <t>20181109.A-TaeRS_1_Tae_RS1_2</t>
  </si>
  <si>
    <t>20181109.A-TaeRS_1_Tae_RS1_3</t>
  </si>
  <si>
    <t>20181109.A-TaeRS_1_Tae_RS1_16</t>
  </si>
  <si>
    <t>20181109.A-TaeRS_1_Tae_RS1_17</t>
  </si>
  <si>
    <t>20181109.A-TaeRS_1_Tae_RS1_18</t>
  </si>
  <si>
    <t>control</t>
  </si>
  <si>
    <t>cold</t>
  </si>
  <si>
    <t>IWGSC</t>
  </si>
  <si>
    <t>Unassigned_NoFeatures</t>
  </si>
  <si>
    <t>Unassigned_Ambiguity</t>
  </si>
  <si>
    <t>Assigned</t>
  </si>
  <si>
    <t>G/D</t>
  </si>
  <si>
    <t>H/D</t>
  </si>
  <si>
    <t>IWGSC+0.5k</t>
  </si>
  <si>
    <t>IWGSC+1.0k</t>
  </si>
  <si>
    <t>IWGSC+2.0k</t>
  </si>
  <si>
    <t>IWGSC+3.0k</t>
  </si>
  <si>
    <t>IWGSC+4.0k</t>
  </si>
  <si>
    <t># genes</t>
  </si>
  <si>
    <t>X20181109.A.TaeRS_1_Tae_RS1_16.bam</t>
  </si>
  <si>
    <t>X20181109.A.TaeRS_1_Tae_RS1_17.bam</t>
  </si>
  <si>
    <t>X20181109.A.TaeRS_1_Tae_RS1_18.bam</t>
  </si>
  <si>
    <t>X20181109.A.TaeRS_1_Tae_RS1_1.bam</t>
  </si>
  <si>
    <t>X20181109.A.TaeRS_1_Tae_RS1_2.bam</t>
  </si>
  <si>
    <t>X20181109.A.TaeRS_1_Tae_RS1_3.bam</t>
  </si>
  <si>
    <t>+0.5k</t>
  </si>
  <si>
    <t>+1k</t>
  </si>
  <si>
    <t>+2k</t>
  </si>
  <si>
    <t>+3k</t>
  </si>
  <si>
    <t>+4k</t>
  </si>
  <si>
    <t>Unassigned_Unmapped</t>
  </si>
  <si>
    <t>Unassigned_MappingQuality</t>
  </si>
  <si>
    <t>Unassigned_Chimera</t>
  </si>
  <si>
    <t>Unassigned_FragmentLength</t>
  </si>
  <si>
    <t>Unassigned_Duplicate</t>
  </si>
  <si>
    <t>Unassigned_MultiMapping</t>
  </si>
  <si>
    <t>Unassigned_Secondary</t>
  </si>
  <si>
    <t>Unassigned_Nonjunction</t>
  </si>
  <si>
    <t>Unassigned_Overlapping_Length</t>
  </si>
  <si>
    <t>Status</t>
  </si>
  <si>
    <t>20181109.A-TaeRS_1_Tae_RS1_16.bam</t>
  </si>
  <si>
    <t>20181109.A-TaeRS_1_Tae_RS1_17.bam</t>
  </si>
  <si>
    <t>20181109.A-TaeRS_1_Tae_RS1_18.bam</t>
  </si>
  <si>
    <t>20181109.A-TaeRS_1_Tae_RS1_1.bam</t>
  </si>
  <si>
    <t>20181109.A-TaeRS_1_Tae_RS1_2.bam</t>
  </si>
  <si>
    <t>20181109.A-TaeRS_1_Tae_RS1_3.bam</t>
  </si>
  <si>
    <t>assiend</t>
  </si>
  <si>
    <t>nof</t>
  </si>
  <si>
    <t>ambi</t>
  </si>
  <si>
    <t>annotation</t>
  </si>
  <si>
    <t>sample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</si>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</sst>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_);_(* \(#,##0.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0" fontId="0" fillId="0" borderId="1" xfId="0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9DAC-44DC-A24C-A930-C7988F36F145}">
  <dimension ref="A1:K70"/>
  <sheetViews>
    <sheetView tabSelected="1" topLeftCell="A41" workbookViewId="0">
      <selection activeCell="I73" sqref="I73"/>
    </sheetView>
  </sheetViews>
  <sheetFormatPr baseColWidth="10" defaultRowHeight="16" x14ac:dyDescent="0.2"/>
  <cols>
    <col min="1" max="1" width="32.5" customWidth="1"/>
    <col min="3" max="3" width="14.83203125" customWidth="1"/>
    <col min="4" max="4" width="16.1640625" customWidth="1"/>
    <col min="5" max="7" width="21.1640625" customWidth="1"/>
  </cols>
  <sheetData>
    <row r="1" spans="1:11" x14ac:dyDescent="0.2">
      <c r="A1" s="18" t="s">
        <v>15</v>
      </c>
    </row>
    <row r="2" spans="1:11" x14ac:dyDescent="0.2">
      <c r="A2" t="s">
        <v>0</v>
      </c>
      <c r="B2" t="s">
        <v>1</v>
      </c>
      <c r="C2" s="7" t="s">
        <v>2</v>
      </c>
      <c r="D2" t="s">
        <v>3</v>
      </c>
      <c r="E2" s="7" t="s">
        <v>18</v>
      </c>
      <c r="F2" s="7" t="s">
        <v>16</v>
      </c>
      <c r="G2" s="7" t="s">
        <v>17</v>
      </c>
      <c r="H2" s="15" t="s">
        <v>4</v>
      </c>
      <c r="I2" s="15" t="s">
        <v>19</v>
      </c>
      <c r="J2" s="15" t="s">
        <v>20</v>
      </c>
      <c r="K2" s="15" t="s">
        <v>26</v>
      </c>
    </row>
    <row r="3" spans="1:11" x14ac:dyDescent="0.2">
      <c r="A3" s="12" t="s">
        <v>7</v>
      </c>
      <c r="B3" s="13">
        <v>1</v>
      </c>
      <c r="C3" s="1" t="s">
        <v>13</v>
      </c>
      <c r="D3" s="14">
        <v>2078810</v>
      </c>
      <c r="E3" s="3">
        <v>960385</v>
      </c>
      <c r="F3" s="3">
        <v>243529</v>
      </c>
      <c r="G3" s="3">
        <v>272</v>
      </c>
      <c r="H3" s="2">
        <f t="shared" ref="H3:J8" si="0">E3/$D3</f>
        <v>0.46198786805913</v>
      </c>
      <c r="I3" s="2">
        <f t="shared" si="0"/>
        <v>0.11714827232888046</v>
      </c>
      <c r="J3" s="2">
        <f t="shared" si="0"/>
        <v>1.3084408868535365E-4</v>
      </c>
      <c r="K3">
        <v>32574</v>
      </c>
    </row>
    <row r="4" spans="1:11" x14ac:dyDescent="0.2">
      <c r="A4" s="4" t="s">
        <v>8</v>
      </c>
      <c r="B4" s="5">
        <v>2</v>
      </c>
      <c r="C4" s="1" t="s">
        <v>13</v>
      </c>
      <c r="D4" s="6">
        <v>1241292</v>
      </c>
      <c r="E4" s="3">
        <v>598358</v>
      </c>
      <c r="F4" s="3">
        <v>139404</v>
      </c>
      <c r="G4" s="3">
        <v>235</v>
      </c>
      <c r="H4" s="2">
        <f t="shared" si="0"/>
        <v>0.48204451490865968</v>
      </c>
      <c r="I4" s="2">
        <f t="shared" si="0"/>
        <v>0.11230556549143957</v>
      </c>
      <c r="J4" s="2">
        <f t="shared" si="0"/>
        <v>1.8931887098281469E-4</v>
      </c>
      <c r="K4">
        <v>26202</v>
      </c>
    </row>
    <row r="5" spans="1:11" x14ac:dyDescent="0.2">
      <c r="A5" s="4" t="s">
        <v>9</v>
      </c>
      <c r="B5" s="5">
        <v>3</v>
      </c>
      <c r="C5" s="1" t="s">
        <v>13</v>
      </c>
      <c r="D5" s="6">
        <v>2874064</v>
      </c>
      <c r="E5" s="3">
        <v>1333602</v>
      </c>
      <c r="F5" s="3">
        <v>282546</v>
      </c>
      <c r="G5" s="3">
        <v>600</v>
      </c>
      <c r="H5" s="2">
        <f t="shared" si="0"/>
        <v>0.46401263159066741</v>
      </c>
      <c r="I5" s="2">
        <f t="shared" si="0"/>
        <v>9.8308875515646141E-2</v>
      </c>
      <c r="J5" s="2">
        <f t="shared" si="0"/>
        <v>2.0876361834670348E-4</v>
      </c>
      <c r="K5">
        <v>32598</v>
      </c>
    </row>
    <row r="6" spans="1:11" x14ac:dyDescent="0.2">
      <c r="A6" s="4" t="s">
        <v>10</v>
      </c>
      <c r="B6" s="5">
        <v>1</v>
      </c>
      <c r="C6" s="1" t="s">
        <v>14</v>
      </c>
      <c r="D6" s="6">
        <v>1393116</v>
      </c>
      <c r="E6" s="6">
        <v>649877</v>
      </c>
      <c r="F6" s="6">
        <v>166135</v>
      </c>
      <c r="G6" s="6">
        <v>205</v>
      </c>
      <c r="H6" s="2">
        <f t="shared" si="0"/>
        <v>0.46649166329293468</v>
      </c>
      <c r="I6" s="2">
        <f t="shared" si="0"/>
        <v>0.11925424731321728</v>
      </c>
      <c r="J6" s="2">
        <f t="shared" si="0"/>
        <v>1.471521395203271E-4</v>
      </c>
      <c r="K6">
        <v>27671</v>
      </c>
    </row>
    <row r="7" spans="1:11" x14ac:dyDescent="0.2">
      <c r="A7" s="4" t="s">
        <v>11</v>
      </c>
      <c r="B7" s="5">
        <v>2</v>
      </c>
      <c r="C7" s="1" t="s">
        <v>14</v>
      </c>
      <c r="D7" s="6">
        <v>3385387</v>
      </c>
      <c r="E7" s="6">
        <v>1675917</v>
      </c>
      <c r="F7" s="6">
        <v>381319</v>
      </c>
      <c r="G7" s="6">
        <v>544</v>
      </c>
      <c r="H7" s="2">
        <f t="shared" si="0"/>
        <v>0.49504443657401648</v>
      </c>
      <c r="I7" s="2">
        <f t="shared" si="0"/>
        <v>0.11263675319837879</v>
      </c>
      <c r="J7" s="2">
        <f t="shared" si="0"/>
        <v>1.6069063891366038E-4</v>
      </c>
      <c r="K7">
        <v>36856</v>
      </c>
    </row>
    <row r="8" spans="1:11" x14ac:dyDescent="0.2">
      <c r="A8" s="7" t="s">
        <v>12</v>
      </c>
      <c r="B8" s="8">
        <v>3</v>
      </c>
      <c r="C8" s="9" t="s">
        <v>14</v>
      </c>
      <c r="D8" s="10">
        <v>3217619</v>
      </c>
      <c r="E8" s="10">
        <v>1576658</v>
      </c>
      <c r="F8" s="10">
        <v>350128</v>
      </c>
      <c r="G8" s="10">
        <v>529</v>
      </c>
      <c r="H8" s="11">
        <f t="shared" si="0"/>
        <v>0.49000767337587203</v>
      </c>
      <c r="I8" s="11">
        <f t="shared" si="0"/>
        <v>0.10881586663927581</v>
      </c>
      <c r="J8" s="11">
        <f t="shared" si="0"/>
        <v>1.6440728377101205E-4</v>
      </c>
      <c r="K8" s="7">
        <v>35557</v>
      </c>
    </row>
    <row r="9" spans="1:11" x14ac:dyDescent="0.2">
      <c r="C9" t="s">
        <v>5</v>
      </c>
      <c r="D9" s="17">
        <f>AVERAGE(D3:D8)</f>
        <v>2365048</v>
      </c>
      <c r="E9" s="17">
        <f t="shared" ref="E9" si="1">AVERAGE(E3:E8)</f>
        <v>1132466.1666666667</v>
      </c>
      <c r="F9" s="17">
        <f t="shared" ref="F9" si="2">AVERAGE(F3:F8)</f>
        <v>260510.16666666666</v>
      </c>
      <c r="G9" s="17">
        <f t="shared" ref="G9" si="3">AVERAGE(G3:G8)</f>
        <v>397.5</v>
      </c>
      <c r="H9" s="2">
        <f t="shared" ref="H9" si="4">AVERAGE(H3:H8)</f>
        <v>0.47659813130021345</v>
      </c>
      <c r="I9" s="2">
        <f t="shared" ref="I9" si="5">AVERAGE(I3:I8)</f>
        <v>0.11141159674780633</v>
      </c>
      <c r="J9" s="2">
        <f t="shared" ref="J9" si="6">AVERAGE(J3:J8)</f>
        <v>1.6686277336997856E-4</v>
      </c>
      <c r="K9" s="17">
        <f>AVERAGE(K3:K8)</f>
        <v>31909.666666666668</v>
      </c>
    </row>
    <row r="10" spans="1:11" x14ac:dyDescent="0.2">
      <c r="A10" s="7"/>
      <c r="B10" s="7"/>
      <c r="C10" s="7" t="s">
        <v>6</v>
      </c>
      <c r="D10" s="16">
        <f>STDEV(D3:D8)</f>
        <v>929137.00023430341</v>
      </c>
      <c r="E10" s="16">
        <f t="shared" ref="E10" si="7">STDEV(E3:E8)</f>
        <v>464946.57368494134</v>
      </c>
      <c r="F10" s="16">
        <f t="shared" ref="F10:G10" si="8">STDEV(F3:F8)</f>
        <v>96926.202775960759</v>
      </c>
      <c r="G10" s="16">
        <f t="shared" si="8"/>
        <v>178.31068391994913</v>
      </c>
      <c r="H10" s="11">
        <f t="shared" ref="H10:J10" si="9">STDEV(H3:H8)</f>
        <v>1.4309020803943435E-2</v>
      </c>
      <c r="I10" s="11">
        <f t="shared" si="9"/>
        <v>7.4180310263659418E-3</v>
      </c>
      <c r="J10" s="11">
        <f t="shared" si="9"/>
        <v>2.8248669122079787E-5</v>
      </c>
      <c r="K10" s="16">
        <f>STDEV(K3:K8)</f>
        <v>4224.4088186001372</v>
      </c>
    </row>
    <row r="13" spans="1:11" x14ac:dyDescent="0.2">
      <c r="A13" s="18" t="s">
        <v>21</v>
      </c>
    </row>
    <row r="14" spans="1:11" x14ac:dyDescent="0.2">
      <c r="A14" t="s">
        <v>0</v>
      </c>
      <c r="B14" t="s">
        <v>1</v>
      </c>
      <c r="C14" s="7" t="s">
        <v>2</v>
      </c>
      <c r="D14" t="s">
        <v>3</v>
      </c>
      <c r="E14" s="7" t="s">
        <v>18</v>
      </c>
      <c r="F14" s="7" t="s">
        <v>16</v>
      </c>
      <c r="G14" s="7" t="s">
        <v>17</v>
      </c>
      <c r="H14" s="15" t="s">
        <v>4</v>
      </c>
      <c r="I14" s="15" t="s">
        <v>19</v>
      </c>
      <c r="J14" s="15" t="s">
        <v>20</v>
      </c>
      <c r="K14" s="15" t="s">
        <v>26</v>
      </c>
    </row>
    <row r="15" spans="1:11" x14ac:dyDescent="0.2">
      <c r="A15" s="12" t="s">
        <v>7</v>
      </c>
      <c r="B15" s="13">
        <v>1</v>
      </c>
      <c r="C15" s="1" t="s">
        <v>13</v>
      </c>
      <c r="D15" s="14">
        <v>2078810</v>
      </c>
      <c r="E15" s="3">
        <v>1062368</v>
      </c>
      <c r="F15" s="3">
        <v>141334</v>
      </c>
      <c r="G15" s="3">
        <v>484</v>
      </c>
      <c r="H15" s="2">
        <f t="shared" ref="H15:J20" si="10">E15/$D15</f>
        <v>0.51104622356059481</v>
      </c>
      <c r="I15" s="2">
        <f t="shared" si="10"/>
        <v>6.7987935405352098E-2</v>
      </c>
      <c r="J15" s="2">
        <f t="shared" si="10"/>
        <v>2.3282551074893811E-4</v>
      </c>
      <c r="K15">
        <v>34766</v>
      </c>
    </row>
    <row r="16" spans="1:11" x14ac:dyDescent="0.2">
      <c r="A16" s="4" t="s">
        <v>8</v>
      </c>
      <c r="B16" s="5">
        <v>2</v>
      </c>
      <c r="C16" s="1" t="s">
        <v>13</v>
      </c>
      <c r="D16" s="6">
        <v>1241292</v>
      </c>
      <c r="E16" s="3">
        <v>659031</v>
      </c>
      <c r="F16" s="3">
        <v>78603</v>
      </c>
      <c r="G16" s="3">
        <v>363</v>
      </c>
      <c r="H16" s="2">
        <f t="shared" si="10"/>
        <v>0.53092342494755462</v>
      </c>
      <c r="I16" s="2">
        <f t="shared" si="10"/>
        <v>6.332353708877525E-2</v>
      </c>
      <c r="J16" s="2">
        <f t="shared" si="10"/>
        <v>2.924372347521776E-4</v>
      </c>
      <c r="K16">
        <v>28017</v>
      </c>
    </row>
    <row r="17" spans="1:11" x14ac:dyDescent="0.2">
      <c r="A17" s="4" t="s">
        <v>9</v>
      </c>
      <c r="B17" s="5">
        <v>3</v>
      </c>
      <c r="C17" s="1" t="s">
        <v>13</v>
      </c>
      <c r="D17" s="6">
        <v>2874064</v>
      </c>
      <c r="E17" s="3">
        <v>1462386</v>
      </c>
      <c r="F17" s="3">
        <v>153452</v>
      </c>
      <c r="G17" s="3">
        <v>910</v>
      </c>
      <c r="H17" s="2">
        <f t="shared" si="10"/>
        <v>0.50882165463260387</v>
      </c>
      <c r="I17" s="2">
        <f t="shared" si="10"/>
        <v>5.3391991270897235E-2</v>
      </c>
      <c r="J17" s="2">
        <f t="shared" si="10"/>
        <v>3.1662482115916697E-4</v>
      </c>
      <c r="K17">
        <v>34722</v>
      </c>
    </row>
    <row r="18" spans="1:11" x14ac:dyDescent="0.2">
      <c r="A18" s="4" t="s">
        <v>10</v>
      </c>
      <c r="B18" s="5">
        <v>1</v>
      </c>
      <c r="C18" s="1" t="s">
        <v>14</v>
      </c>
      <c r="D18" s="6">
        <v>1393116</v>
      </c>
      <c r="E18" s="6">
        <v>720159</v>
      </c>
      <c r="F18" s="6">
        <v>95756</v>
      </c>
      <c r="G18" s="6">
        <v>302</v>
      </c>
      <c r="H18" s="2">
        <f t="shared" si="10"/>
        <v>0.51694115924302064</v>
      </c>
      <c r="I18" s="2">
        <f t="shared" si="10"/>
        <v>6.8735123277602159E-2</v>
      </c>
      <c r="J18" s="2">
        <f t="shared" si="10"/>
        <v>2.1678022504945747E-4</v>
      </c>
      <c r="K18">
        <v>29618</v>
      </c>
    </row>
    <row r="19" spans="1:11" x14ac:dyDescent="0.2">
      <c r="A19" s="4" t="s">
        <v>11</v>
      </c>
      <c r="B19" s="5">
        <v>2</v>
      </c>
      <c r="C19" s="1" t="s">
        <v>14</v>
      </c>
      <c r="D19" s="6">
        <v>3385387</v>
      </c>
      <c r="E19" s="6">
        <v>1846425</v>
      </c>
      <c r="F19" s="6">
        <v>210501</v>
      </c>
      <c r="G19" s="6">
        <v>854</v>
      </c>
      <c r="H19" s="2">
        <f t="shared" si="10"/>
        <v>0.54541031793410921</v>
      </c>
      <c r="I19" s="2">
        <f t="shared" si="10"/>
        <v>6.2179301805081667E-2</v>
      </c>
      <c r="J19" s="2">
        <f t="shared" si="10"/>
        <v>2.5226067211813597E-4</v>
      </c>
      <c r="K19">
        <v>39054</v>
      </c>
    </row>
    <row r="20" spans="1:11" x14ac:dyDescent="0.2">
      <c r="A20" s="7" t="s">
        <v>12</v>
      </c>
      <c r="B20" s="8">
        <v>3</v>
      </c>
      <c r="C20" s="9" t="s">
        <v>14</v>
      </c>
      <c r="D20" s="10">
        <v>3217619</v>
      </c>
      <c r="E20" s="10">
        <v>1738343</v>
      </c>
      <c r="F20" s="10">
        <v>188182</v>
      </c>
      <c r="G20" s="10">
        <v>790</v>
      </c>
      <c r="H20" s="11">
        <f t="shared" si="10"/>
        <v>0.54025756312353945</v>
      </c>
      <c r="I20" s="11">
        <f t="shared" si="10"/>
        <v>5.8484861010579564E-2</v>
      </c>
      <c r="J20" s="11">
        <f t="shared" si="10"/>
        <v>2.4552316479981007E-4</v>
      </c>
      <c r="K20" s="7">
        <v>37660</v>
      </c>
    </row>
    <row r="21" spans="1:11" x14ac:dyDescent="0.2">
      <c r="C21" t="s">
        <v>5</v>
      </c>
      <c r="D21" s="17">
        <f>AVERAGE(D15:D20)</f>
        <v>2365048</v>
      </c>
      <c r="E21" s="17">
        <f t="shared" ref="E21" si="11">AVERAGE(E15:E20)</f>
        <v>1248118.6666666667</v>
      </c>
      <c r="F21" s="17">
        <f t="shared" ref="F21" si="12">AVERAGE(F15:F20)</f>
        <v>144638</v>
      </c>
      <c r="G21" s="17">
        <f t="shared" ref="G21" si="13">AVERAGE(G15:G20)</f>
        <v>617.16666666666663</v>
      </c>
      <c r="H21" s="2">
        <f t="shared" ref="H21" si="14">AVERAGE(H15:H20)</f>
        <v>0.52556672390690373</v>
      </c>
      <c r="I21" s="2">
        <f t="shared" ref="I21" si="15">AVERAGE(I15:I20)</f>
        <v>6.2350458309714661E-2</v>
      </c>
      <c r="J21" s="2">
        <f t="shared" ref="J21" si="16">AVERAGE(J15:J20)</f>
        <v>2.5940860477128105E-4</v>
      </c>
      <c r="K21" s="17">
        <f>AVERAGE(K15:K20)</f>
        <v>33972.833333333336</v>
      </c>
    </row>
    <row r="22" spans="1:11" x14ac:dyDescent="0.2">
      <c r="A22" s="7"/>
      <c r="B22" s="7"/>
      <c r="C22" s="7" t="s">
        <v>6</v>
      </c>
      <c r="D22" s="16">
        <f>STDEV(D15:D20)</f>
        <v>929137.00023430341</v>
      </c>
      <c r="E22" s="16">
        <f t="shared" ref="E22:J22" si="17">STDEV(E15:E20)</f>
        <v>510777.80970698677</v>
      </c>
      <c r="F22" s="16">
        <f t="shared" si="17"/>
        <v>51132.55101400672</v>
      </c>
      <c r="G22" s="16">
        <f t="shared" si="17"/>
        <v>265.84839037817534</v>
      </c>
      <c r="H22" s="11">
        <f t="shared" si="17"/>
        <v>1.5517254060713092E-2</v>
      </c>
      <c r="I22" s="11">
        <f t="shared" si="17"/>
        <v>5.808928399971919E-3</v>
      </c>
      <c r="J22" s="11">
        <f t="shared" si="17"/>
        <v>3.7768568535448336E-5</v>
      </c>
      <c r="K22" s="16">
        <f>STDEV(K15:K20)</f>
        <v>4359.8243275006625</v>
      </c>
    </row>
    <row r="25" spans="1:11" x14ac:dyDescent="0.2">
      <c r="A25" s="18" t="s">
        <v>22</v>
      </c>
    </row>
    <row r="26" spans="1:11" x14ac:dyDescent="0.2">
      <c r="A26" t="s">
        <v>0</v>
      </c>
      <c r="B26" t="s">
        <v>1</v>
      </c>
      <c r="C26" s="7" t="s">
        <v>2</v>
      </c>
      <c r="D26" t="s">
        <v>3</v>
      </c>
      <c r="E26" s="7" t="s">
        <v>18</v>
      </c>
      <c r="F26" s="7" t="s">
        <v>16</v>
      </c>
      <c r="G26" s="7" t="s">
        <v>17</v>
      </c>
      <c r="H26" s="15" t="s">
        <v>4</v>
      </c>
      <c r="I26" s="15" t="s">
        <v>19</v>
      </c>
      <c r="J26" s="15" t="s">
        <v>20</v>
      </c>
      <c r="K26" s="15" t="s">
        <v>26</v>
      </c>
    </row>
    <row r="27" spans="1:11" x14ac:dyDescent="0.2">
      <c r="A27" s="12" t="s">
        <v>7</v>
      </c>
      <c r="B27" s="13">
        <v>1</v>
      </c>
      <c r="C27" s="1" t="s">
        <v>13</v>
      </c>
      <c r="D27" s="14">
        <v>2078810</v>
      </c>
      <c r="E27" s="3">
        <v>1068546</v>
      </c>
      <c r="F27" s="3">
        <v>134740</v>
      </c>
      <c r="G27" s="3">
        <v>900</v>
      </c>
      <c r="H27" s="2">
        <f t="shared" ref="H27:J32" si="18">E27/$D27</f>
        <v>0.51401811613374959</v>
      </c>
      <c r="I27" s="2">
        <f t="shared" si="18"/>
        <v>6.4815928343619669E-2</v>
      </c>
      <c r="J27" s="2">
        <f t="shared" si="18"/>
        <v>4.3293999932653778E-4</v>
      </c>
      <c r="K27">
        <v>35046</v>
      </c>
    </row>
    <row r="28" spans="1:11" x14ac:dyDescent="0.2">
      <c r="A28" s="4" t="s">
        <v>8</v>
      </c>
      <c r="B28" s="5">
        <v>2</v>
      </c>
      <c r="C28" s="1" t="s">
        <v>13</v>
      </c>
      <c r="D28" s="6">
        <v>1241292</v>
      </c>
      <c r="E28" s="3">
        <v>662033</v>
      </c>
      <c r="F28" s="3">
        <v>75405</v>
      </c>
      <c r="G28" s="3">
        <v>559</v>
      </c>
      <c r="H28" s="2">
        <f t="shared" si="18"/>
        <v>0.53334187282283296</v>
      </c>
      <c r="I28" s="2">
        <f t="shared" si="18"/>
        <v>6.0747189218975067E-2</v>
      </c>
      <c r="J28" s="2">
        <f t="shared" si="18"/>
        <v>4.5033722927401447E-4</v>
      </c>
      <c r="K28">
        <v>28209</v>
      </c>
    </row>
    <row r="29" spans="1:11" x14ac:dyDescent="0.2">
      <c r="A29" s="4" t="s">
        <v>9</v>
      </c>
      <c r="B29" s="5">
        <v>3</v>
      </c>
      <c r="C29" s="1" t="s">
        <v>13</v>
      </c>
      <c r="D29" s="6">
        <v>2874064</v>
      </c>
      <c r="E29" s="3">
        <v>1467720</v>
      </c>
      <c r="F29" s="3">
        <v>147666</v>
      </c>
      <c r="G29" s="3">
        <v>1362</v>
      </c>
      <c r="H29" s="2">
        <f t="shared" si="18"/>
        <v>0.51067756319970603</v>
      </c>
      <c r="I29" s="2">
        <f t="shared" si="18"/>
        <v>5.1378814111307194E-2</v>
      </c>
      <c r="J29" s="2">
        <f t="shared" si="18"/>
        <v>4.7389341364701689E-4</v>
      </c>
      <c r="K29">
        <v>34960</v>
      </c>
    </row>
    <row r="30" spans="1:11" x14ac:dyDescent="0.2">
      <c r="A30" s="4" t="s">
        <v>10</v>
      </c>
      <c r="B30" s="5">
        <v>1</v>
      </c>
      <c r="C30" s="1" t="s">
        <v>14</v>
      </c>
      <c r="D30" s="6">
        <v>1393116</v>
      </c>
      <c r="E30" s="6">
        <v>723886</v>
      </c>
      <c r="F30" s="6">
        <v>91905</v>
      </c>
      <c r="G30" s="6">
        <v>426</v>
      </c>
      <c r="H30" s="2">
        <f t="shared" si="18"/>
        <v>0.51961645692103176</v>
      </c>
      <c r="I30" s="2">
        <f t="shared" si="18"/>
        <v>6.5970816500564203E-2</v>
      </c>
      <c r="J30" s="2">
        <f t="shared" si="18"/>
        <v>3.0578932407638703E-4</v>
      </c>
      <c r="K30">
        <v>29840</v>
      </c>
    </row>
    <row r="31" spans="1:11" x14ac:dyDescent="0.2">
      <c r="A31" s="4" t="s">
        <v>11</v>
      </c>
      <c r="B31" s="5">
        <v>2</v>
      </c>
      <c r="C31" s="1" t="s">
        <v>14</v>
      </c>
      <c r="D31" s="6">
        <v>3385387</v>
      </c>
      <c r="E31" s="6">
        <v>1854840</v>
      </c>
      <c r="F31" s="6">
        <v>201694</v>
      </c>
      <c r="G31" s="6">
        <v>1246</v>
      </c>
      <c r="H31" s="2">
        <f t="shared" si="18"/>
        <v>0.54789600125480487</v>
      </c>
      <c r="I31" s="2">
        <f t="shared" si="18"/>
        <v>5.9577826700462903E-2</v>
      </c>
      <c r="J31" s="2">
        <f t="shared" si="18"/>
        <v>3.6805245604121478E-4</v>
      </c>
      <c r="K31">
        <v>39321</v>
      </c>
    </row>
    <row r="32" spans="1:11" x14ac:dyDescent="0.2">
      <c r="A32" s="7" t="s">
        <v>12</v>
      </c>
      <c r="B32" s="8">
        <v>3</v>
      </c>
      <c r="C32" s="9" t="s">
        <v>14</v>
      </c>
      <c r="D32" s="10">
        <v>3217619</v>
      </c>
      <c r="E32" s="10">
        <v>1746246</v>
      </c>
      <c r="F32" s="10">
        <v>179811</v>
      </c>
      <c r="G32" s="10">
        <v>1258</v>
      </c>
      <c r="H32" s="11">
        <f t="shared" si="18"/>
        <v>0.54271372713798616</v>
      </c>
      <c r="I32" s="11">
        <f t="shared" si="18"/>
        <v>5.5883247830150182E-2</v>
      </c>
      <c r="J32" s="11">
        <f t="shared" si="18"/>
        <v>3.9097233078248231E-4</v>
      </c>
      <c r="K32" s="7">
        <v>37923</v>
      </c>
    </row>
    <row r="33" spans="1:11" x14ac:dyDescent="0.2">
      <c r="C33" t="s">
        <v>5</v>
      </c>
      <c r="D33" s="17">
        <f>AVERAGE(D27:D32)</f>
        <v>2365048</v>
      </c>
      <c r="E33" s="17">
        <f t="shared" ref="E33" si="19">AVERAGE(E27:E32)</f>
        <v>1253878.5</v>
      </c>
      <c r="F33" s="17">
        <f t="shared" ref="F33" si="20">AVERAGE(F27:F32)</f>
        <v>138536.83333333334</v>
      </c>
      <c r="G33" s="17">
        <f t="shared" ref="G33" si="21">AVERAGE(G27:G32)</f>
        <v>958.5</v>
      </c>
      <c r="H33" s="2">
        <f t="shared" ref="H33" si="22">AVERAGE(H27:H32)</f>
        <v>0.52804395624501854</v>
      </c>
      <c r="I33" s="2">
        <f t="shared" ref="I33" si="23">AVERAGE(I27:I32)</f>
        <v>5.972897045084654E-2</v>
      </c>
      <c r="J33" s="2">
        <f t="shared" ref="J33" si="24">AVERAGE(J27:J32)</f>
        <v>4.0366412552460891E-4</v>
      </c>
      <c r="K33" s="17">
        <f>AVERAGE(K27:K32)</f>
        <v>34216.5</v>
      </c>
    </row>
    <row r="34" spans="1:11" x14ac:dyDescent="0.2">
      <c r="A34" s="7"/>
      <c r="B34" s="7"/>
      <c r="C34" s="7" t="s">
        <v>6</v>
      </c>
      <c r="D34" s="16">
        <f>STDEV(D27:D32)</f>
        <v>929137.00023430341</v>
      </c>
      <c r="E34" s="16">
        <f t="shared" ref="E34:J34" si="25">STDEV(E27:E32)</f>
        <v>512802.09596753796</v>
      </c>
      <c r="F34" s="16">
        <f t="shared" si="25"/>
        <v>48888.23666861657</v>
      </c>
      <c r="G34" s="16">
        <f t="shared" si="25"/>
        <v>395.41054614160203</v>
      </c>
      <c r="H34" s="11">
        <f t="shared" si="25"/>
        <v>1.5535200882352183E-2</v>
      </c>
      <c r="I34" s="11">
        <f t="shared" si="25"/>
        <v>5.4847441138918557E-3</v>
      </c>
      <c r="J34" s="11">
        <f t="shared" si="25"/>
        <v>6.1605775259060037E-5</v>
      </c>
      <c r="K34" s="16">
        <f>STDEV(K27:K32)</f>
        <v>4388.1370420714984</v>
      </c>
    </row>
    <row r="37" spans="1:11" x14ac:dyDescent="0.2">
      <c r="A37" s="18" t="s">
        <v>23</v>
      </c>
    </row>
    <row r="38" spans="1:11" x14ac:dyDescent="0.2">
      <c r="A38" t="s">
        <v>0</v>
      </c>
      <c r="B38" t="s">
        <v>1</v>
      </c>
      <c r="C38" s="7" t="s">
        <v>2</v>
      </c>
      <c r="D38" t="s">
        <v>3</v>
      </c>
      <c r="E38" s="7" t="s">
        <v>18</v>
      </c>
      <c r="F38" s="7" t="s">
        <v>16</v>
      </c>
      <c r="G38" s="7" t="s">
        <v>17</v>
      </c>
      <c r="H38" s="15" t="s">
        <v>4</v>
      </c>
      <c r="I38" s="15" t="s">
        <v>19</v>
      </c>
      <c r="J38" s="15" t="s">
        <v>20</v>
      </c>
      <c r="K38" s="15" t="s">
        <v>26</v>
      </c>
    </row>
    <row r="39" spans="1:11" x14ac:dyDescent="0.2">
      <c r="A39" s="12" t="s">
        <v>7</v>
      </c>
      <c r="B39" s="13">
        <v>1</v>
      </c>
      <c r="C39" s="1" t="s">
        <v>13</v>
      </c>
      <c r="D39" s="14">
        <v>2078810</v>
      </c>
      <c r="E39" s="3">
        <v>1075365</v>
      </c>
      <c r="F39" s="3">
        <v>127618</v>
      </c>
      <c r="G39" s="3">
        <v>1203</v>
      </c>
      <c r="H39" s="2">
        <f t="shared" ref="H39:J44" si="26">E39/$D39</f>
        <v>0.51729835819531367</v>
      </c>
      <c r="I39" s="2">
        <f t="shared" si="26"/>
        <v>6.1389929815615668E-2</v>
      </c>
      <c r="J39" s="2">
        <f t="shared" si="26"/>
        <v>5.7869646576647212E-4</v>
      </c>
      <c r="K39">
        <v>35339</v>
      </c>
    </row>
    <row r="40" spans="1:11" x14ac:dyDescent="0.2">
      <c r="A40" s="4" t="s">
        <v>8</v>
      </c>
      <c r="B40" s="5">
        <v>2</v>
      </c>
      <c r="C40" s="1" t="s">
        <v>13</v>
      </c>
      <c r="D40" s="6">
        <v>1241292</v>
      </c>
      <c r="E40" s="3">
        <v>664942</v>
      </c>
      <c r="F40" s="3">
        <v>72332</v>
      </c>
      <c r="G40" s="3">
        <v>723</v>
      </c>
      <c r="H40" s="2">
        <f t="shared" si="26"/>
        <v>0.53568539876193511</v>
      </c>
      <c r="I40" s="2">
        <f t="shared" si="26"/>
        <v>5.8271542876293408E-2</v>
      </c>
      <c r="J40" s="2">
        <f t="shared" si="26"/>
        <v>5.8245763285351068E-4</v>
      </c>
      <c r="K40">
        <v>28390</v>
      </c>
    </row>
    <row r="41" spans="1:11" x14ac:dyDescent="0.2">
      <c r="A41" s="4" t="s">
        <v>9</v>
      </c>
      <c r="B41" s="5">
        <v>3</v>
      </c>
      <c r="C41" s="1" t="s">
        <v>13</v>
      </c>
      <c r="D41" s="6">
        <v>2874064</v>
      </c>
      <c r="E41" s="3">
        <v>1473493</v>
      </c>
      <c r="F41" s="3">
        <v>141395</v>
      </c>
      <c r="G41" s="3">
        <v>1860</v>
      </c>
      <c r="H41" s="2">
        <f t="shared" si="26"/>
        <v>0.51268621714756524</v>
      </c>
      <c r="I41" s="2">
        <f t="shared" si="26"/>
        <v>4.9196886360220231E-2</v>
      </c>
      <c r="J41" s="2">
        <f t="shared" si="26"/>
        <v>6.4716721687478075E-4</v>
      </c>
      <c r="K41">
        <v>35197</v>
      </c>
    </row>
    <row r="42" spans="1:11" x14ac:dyDescent="0.2">
      <c r="A42" s="4" t="s">
        <v>10</v>
      </c>
      <c r="B42" s="5">
        <v>1</v>
      </c>
      <c r="C42" s="1" t="s">
        <v>14</v>
      </c>
      <c r="D42" s="6">
        <v>1393116</v>
      </c>
      <c r="E42" s="6">
        <v>727959</v>
      </c>
      <c r="F42" s="6">
        <v>87713</v>
      </c>
      <c r="G42" s="6">
        <v>545</v>
      </c>
      <c r="H42" s="2">
        <f t="shared" si="26"/>
        <v>0.52254011869794048</v>
      </c>
      <c r="I42" s="2">
        <f t="shared" si="26"/>
        <v>6.2961734701202199E-2</v>
      </c>
      <c r="J42" s="2">
        <f t="shared" si="26"/>
        <v>3.9120934652965008E-4</v>
      </c>
      <c r="K42">
        <v>30049</v>
      </c>
    </row>
    <row r="43" spans="1:11" x14ac:dyDescent="0.2">
      <c r="A43" s="4" t="s">
        <v>11</v>
      </c>
      <c r="B43" s="5">
        <v>2</v>
      </c>
      <c r="C43" s="1" t="s">
        <v>14</v>
      </c>
      <c r="D43" s="6">
        <v>3385387</v>
      </c>
      <c r="E43" s="6">
        <v>1863454</v>
      </c>
      <c r="F43" s="6">
        <v>192524</v>
      </c>
      <c r="G43" s="6">
        <v>1802</v>
      </c>
      <c r="H43" s="2">
        <f t="shared" si="26"/>
        <v>0.55044046662907375</v>
      </c>
      <c r="I43" s="2">
        <f t="shared" si="26"/>
        <v>5.6869126040833738E-2</v>
      </c>
      <c r="J43" s="2">
        <f t="shared" si="26"/>
        <v>5.3228774140150008E-4</v>
      </c>
      <c r="K43">
        <v>39600</v>
      </c>
    </row>
    <row r="44" spans="1:11" x14ac:dyDescent="0.2">
      <c r="A44" s="7" t="s">
        <v>12</v>
      </c>
      <c r="B44" s="8">
        <v>3</v>
      </c>
      <c r="C44" s="9" t="s">
        <v>14</v>
      </c>
      <c r="D44" s="10">
        <v>3217619</v>
      </c>
      <c r="E44" s="10">
        <v>1754101</v>
      </c>
      <c r="F44" s="10">
        <v>171361</v>
      </c>
      <c r="G44" s="10">
        <v>1853</v>
      </c>
      <c r="H44" s="11">
        <f t="shared" si="26"/>
        <v>0.54515497328925522</v>
      </c>
      <c r="I44" s="11">
        <f t="shared" si="26"/>
        <v>5.3257082333240821E-2</v>
      </c>
      <c r="J44" s="11">
        <f t="shared" si="26"/>
        <v>5.7589167642284561E-4</v>
      </c>
      <c r="K44" s="7">
        <v>38169</v>
      </c>
    </row>
    <row r="45" spans="1:11" x14ac:dyDescent="0.2">
      <c r="C45" t="s">
        <v>5</v>
      </c>
      <c r="D45" s="17">
        <f>AVERAGE(D39:D44)</f>
        <v>2365048</v>
      </c>
      <c r="E45" s="17">
        <f t="shared" ref="E45" si="27">AVERAGE(E39:E44)</f>
        <v>1259885.6666666667</v>
      </c>
      <c r="F45" s="17">
        <f t="shared" ref="F45" si="28">AVERAGE(F39:F44)</f>
        <v>132157.16666666666</v>
      </c>
      <c r="G45" s="17">
        <f t="shared" ref="G45" si="29">AVERAGE(G39:G44)</f>
        <v>1331</v>
      </c>
      <c r="H45" s="2">
        <f t="shared" ref="H45" si="30">AVERAGE(H39:H44)</f>
        <v>0.53063425545351384</v>
      </c>
      <c r="I45" s="2">
        <f t="shared" ref="I45" si="31">AVERAGE(I39:I44)</f>
        <v>5.6991050354567675E-2</v>
      </c>
      <c r="J45" s="2">
        <f t="shared" ref="J45" si="32">AVERAGE(J39:J44)</f>
        <v>5.5128501330812651E-4</v>
      </c>
      <c r="K45" s="17">
        <f>AVERAGE(K39:K44)</f>
        <v>34457.333333333336</v>
      </c>
    </row>
    <row r="46" spans="1:11" x14ac:dyDescent="0.2">
      <c r="A46" s="7"/>
      <c r="B46" s="7"/>
      <c r="C46" s="7" t="s">
        <v>6</v>
      </c>
      <c r="D46" s="16">
        <f>STDEV(D39:D44)</f>
        <v>929137.00023430341</v>
      </c>
      <c r="E46" s="16">
        <f t="shared" ref="E46:J46" si="33">STDEV(E39:E44)</f>
        <v>514805.48621850059</v>
      </c>
      <c r="F46" s="16">
        <f t="shared" si="33"/>
        <v>46564.73178454554</v>
      </c>
      <c r="G46" s="16">
        <f t="shared" si="33"/>
        <v>596.32373757884227</v>
      </c>
      <c r="H46" s="11">
        <f t="shared" si="33"/>
        <v>1.5454090596662711E-2</v>
      </c>
      <c r="I46" s="11">
        <f t="shared" si="33"/>
        <v>5.1253341017249814E-3</v>
      </c>
      <c r="J46" s="11">
        <f t="shared" si="33"/>
        <v>8.6610761687106914E-5</v>
      </c>
      <c r="K46" s="16">
        <f>STDEV(K39:K44)</f>
        <v>4422.5302561618055</v>
      </c>
    </row>
    <row r="49" spans="1:11" x14ac:dyDescent="0.2">
      <c r="A49" s="18" t="s">
        <v>24</v>
      </c>
    </row>
    <row r="50" spans="1:11" x14ac:dyDescent="0.2">
      <c r="A50" t="s">
        <v>0</v>
      </c>
      <c r="B50" t="s">
        <v>1</v>
      </c>
      <c r="C50" s="7" t="s">
        <v>2</v>
      </c>
      <c r="D50" t="s">
        <v>3</v>
      </c>
      <c r="E50" s="7" t="s">
        <v>18</v>
      </c>
      <c r="F50" s="7" t="s">
        <v>16</v>
      </c>
      <c r="G50" s="7" t="s">
        <v>17</v>
      </c>
      <c r="H50" s="15" t="s">
        <v>4</v>
      </c>
      <c r="I50" s="15" t="s">
        <v>19</v>
      </c>
      <c r="J50" s="15" t="s">
        <v>20</v>
      </c>
      <c r="K50" s="15" t="s">
        <v>26</v>
      </c>
    </row>
    <row r="51" spans="1:11" x14ac:dyDescent="0.2">
      <c r="A51" s="12" t="s">
        <v>7</v>
      </c>
      <c r="B51" s="13">
        <v>1</v>
      </c>
      <c r="C51" s="1" t="s">
        <v>13</v>
      </c>
      <c r="D51" s="14">
        <v>2078810</v>
      </c>
      <c r="E51" s="3">
        <v>1080716</v>
      </c>
      <c r="F51" s="3">
        <v>121953</v>
      </c>
      <c r="G51" s="3">
        <v>1517</v>
      </c>
      <c r="H51" s="2">
        <f t="shared" ref="H51:J56" si="34">E51/$D51</f>
        <v>0.51987242701353176</v>
      </c>
      <c r="I51" s="2">
        <f t="shared" si="34"/>
        <v>5.8664813042076956E-2</v>
      </c>
      <c r="J51" s="2">
        <f t="shared" si="34"/>
        <v>7.2974442108706425E-4</v>
      </c>
      <c r="K51">
        <v>35510</v>
      </c>
    </row>
    <row r="52" spans="1:11" x14ac:dyDescent="0.2">
      <c r="A52" s="4" t="s">
        <v>8</v>
      </c>
      <c r="B52" s="5">
        <v>2</v>
      </c>
      <c r="C52" s="1" t="s">
        <v>13</v>
      </c>
      <c r="D52" s="6">
        <v>1241292</v>
      </c>
      <c r="E52" s="3">
        <v>667012</v>
      </c>
      <c r="F52" s="3">
        <v>70003</v>
      </c>
      <c r="G52" s="3">
        <v>982</v>
      </c>
      <c r="H52" s="2">
        <f t="shared" si="34"/>
        <v>0.53735301605101782</v>
      </c>
      <c r="I52" s="2">
        <f t="shared" si="34"/>
        <v>5.6395272023021172E-2</v>
      </c>
      <c r="J52" s="2">
        <f t="shared" si="34"/>
        <v>7.911111970430809E-4</v>
      </c>
      <c r="K52">
        <v>28524</v>
      </c>
    </row>
    <row r="53" spans="1:11" x14ac:dyDescent="0.2">
      <c r="A53" s="4" t="s">
        <v>9</v>
      </c>
      <c r="B53" s="5">
        <v>3</v>
      </c>
      <c r="C53" s="1" t="s">
        <v>13</v>
      </c>
      <c r="D53" s="6">
        <v>2874064</v>
      </c>
      <c r="E53" s="3">
        <v>1477183</v>
      </c>
      <c r="F53" s="3">
        <v>137216</v>
      </c>
      <c r="G53" s="3">
        <v>2349</v>
      </c>
      <c r="H53" s="2">
        <f t="shared" si="34"/>
        <v>0.51397011340039744</v>
      </c>
      <c r="I53" s="2">
        <f t="shared" si="34"/>
        <v>4.7742847758435444E-2</v>
      </c>
      <c r="J53" s="2">
        <f t="shared" si="34"/>
        <v>8.1730956582734418E-4</v>
      </c>
      <c r="K53">
        <v>35379</v>
      </c>
    </row>
    <row r="54" spans="1:11" x14ac:dyDescent="0.2">
      <c r="A54" s="4" t="s">
        <v>10</v>
      </c>
      <c r="B54" s="5">
        <v>1</v>
      </c>
      <c r="C54" s="1" t="s">
        <v>14</v>
      </c>
      <c r="D54" s="6">
        <v>1393116</v>
      </c>
      <c r="E54" s="6">
        <v>730212</v>
      </c>
      <c r="F54" s="6">
        <v>85165</v>
      </c>
      <c r="G54" s="6">
        <v>840</v>
      </c>
      <c r="H54" s="2">
        <f t="shared" si="34"/>
        <v>0.52415735660203455</v>
      </c>
      <c r="I54" s="2">
        <f t="shared" si="34"/>
        <v>6.1132741279261743E-2</v>
      </c>
      <c r="J54" s="2">
        <f t="shared" si="34"/>
        <v>6.0296486437597444E-4</v>
      </c>
      <c r="K54">
        <v>30171</v>
      </c>
    </row>
    <row r="55" spans="1:11" x14ac:dyDescent="0.2">
      <c r="A55" s="4" t="s">
        <v>11</v>
      </c>
      <c r="B55" s="5">
        <v>2</v>
      </c>
      <c r="C55" s="1" t="s">
        <v>14</v>
      </c>
      <c r="D55" s="6">
        <v>3385387</v>
      </c>
      <c r="E55" s="6">
        <v>1868880</v>
      </c>
      <c r="F55" s="6">
        <v>186674</v>
      </c>
      <c r="G55" s="6">
        <v>2226</v>
      </c>
      <c r="H55" s="2">
        <f t="shared" si="34"/>
        <v>0.55204323759735596</v>
      </c>
      <c r="I55" s="2">
        <f t="shared" si="34"/>
        <v>5.5141110898104119E-2</v>
      </c>
      <c r="J55" s="2">
        <f t="shared" si="34"/>
        <v>6.5753191584891184E-4</v>
      </c>
      <c r="K55">
        <v>39789</v>
      </c>
    </row>
    <row r="56" spans="1:11" x14ac:dyDescent="0.2">
      <c r="A56" s="7" t="s">
        <v>12</v>
      </c>
      <c r="B56" s="8">
        <v>3</v>
      </c>
      <c r="C56" s="9" t="s">
        <v>14</v>
      </c>
      <c r="D56" s="10">
        <v>3217619</v>
      </c>
      <c r="E56" s="10">
        <v>1759039</v>
      </c>
      <c r="F56" s="10">
        <v>165926</v>
      </c>
      <c r="G56" s="10">
        <v>2350</v>
      </c>
      <c r="H56" s="11">
        <f t="shared" si="34"/>
        <v>0.54668964846366208</v>
      </c>
      <c r="I56" s="11">
        <f t="shared" si="34"/>
        <v>5.1567945117181366E-2</v>
      </c>
      <c r="J56" s="11">
        <f t="shared" si="34"/>
        <v>7.303537180753843E-4</v>
      </c>
      <c r="K56" s="7">
        <v>38330</v>
      </c>
    </row>
    <row r="57" spans="1:11" x14ac:dyDescent="0.2">
      <c r="C57" t="s">
        <v>5</v>
      </c>
      <c r="D57" s="17">
        <f>AVERAGE(D51:D56)</f>
        <v>2365048</v>
      </c>
      <c r="E57" s="17">
        <f t="shared" ref="E57" si="35">AVERAGE(E51:E56)</f>
        <v>1263840.3333333333</v>
      </c>
      <c r="F57" s="17">
        <f t="shared" ref="F57" si="36">AVERAGE(F51:F56)</f>
        <v>127822.83333333333</v>
      </c>
      <c r="G57" s="17">
        <f t="shared" ref="G57" si="37">AVERAGE(G51:G56)</f>
        <v>1710.6666666666667</v>
      </c>
      <c r="H57" s="2">
        <f t="shared" ref="H57" si="38">AVERAGE(H51:H56)</f>
        <v>0.53234763318799982</v>
      </c>
      <c r="I57" s="2">
        <f t="shared" ref="I57" si="39">AVERAGE(I51:I56)</f>
        <v>5.5107455019680139E-2</v>
      </c>
      <c r="J57" s="2">
        <f t="shared" ref="J57" si="40">AVERAGE(J51:J56)</f>
        <v>7.2150261370962669E-4</v>
      </c>
      <c r="K57" s="17">
        <f>AVERAGE(K51:K56)</f>
        <v>34617.166666666664</v>
      </c>
    </row>
    <row r="58" spans="1:11" x14ac:dyDescent="0.2">
      <c r="A58" s="7"/>
      <c r="B58" s="7"/>
      <c r="C58" s="7" t="s">
        <v>6</v>
      </c>
      <c r="D58" s="16">
        <f>STDEV(D51:D56)</f>
        <v>929137.00023430341</v>
      </c>
      <c r="E58" s="16">
        <f t="shared" ref="E58:J58" si="41">STDEV(E51:E56)</f>
        <v>516005.34690898971</v>
      </c>
      <c r="F58" s="16">
        <f t="shared" si="41"/>
        <v>45168.1780080475</v>
      </c>
      <c r="G58" s="16">
        <f t="shared" si="41"/>
        <v>694.0183475000257</v>
      </c>
      <c r="H58" s="11">
        <f t="shared" si="41"/>
        <v>1.5356488700327213E-2</v>
      </c>
      <c r="I58" s="11">
        <f t="shared" si="41"/>
        <v>4.8452873273713204E-3</v>
      </c>
      <c r="J58" s="11">
        <f t="shared" si="41"/>
        <v>8.0391597305927453E-5</v>
      </c>
      <c r="K58" s="16">
        <f>STDEV(K51:K56)</f>
        <v>4445.3483740497331</v>
      </c>
    </row>
    <row r="61" spans="1:11" x14ac:dyDescent="0.2">
      <c r="A61" s="18" t="s">
        <v>25</v>
      </c>
    </row>
    <row r="62" spans="1:11" x14ac:dyDescent="0.2">
      <c r="A62" t="s">
        <v>0</v>
      </c>
      <c r="B62" t="s">
        <v>1</v>
      </c>
      <c r="C62" s="7" t="s">
        <v>2</v>
      </c>
      <c r="D62" t="s">
        <v>3</v>
      </c>
      <c r="E62" s="7" t="s">
        <v>18</v>
      </c>
      <c r="F62" s="7" t="s">
        <v>16</v>
      </c>
      <c r="G62" s="7" t="s">
        <v>17</v>
      </c>
      <c r="H62" s="15" t="s">
        <v>4</v>
      </c>
      <c r="I62" s="15" t="s">
        <v>19</v>
      </c>
      <c r="J62" s="15" t="s">
        <v>20</v>
      </c>
      <c r="K62" s="15" t="s">
        <v>26</v>
      </c>
    </row>
    <row r="63" spans="1:11" x14ac:dyDescent="0.2">
      <c r="A63" s="12" t="s">
        <v>7</v>
      </c>
      <c r="B63" s="13">
        <v>1</v>
      </c>
      <c r="C63" s="1" t="s">
        <v>13</v>
      </c>
      <c r="D63" s="14">
        <v>2078810</v>
      </c>
      <c r="E63" s="3">
        <v>1083870</v>
      </c>
      <c r="F63" s="3">
        <v>118750</v>
      </c>
      <c r="G63" s="3">
        <v>1566</v>
      </c>
      <c r="H63" s="2">
        <f t="shared" ref="H63:J68" si="42">E63/$D63</f>
        <v>0.52138964118894948</v>
      </c>
      <c r="I63" s="2">
        <f t="shared" si="42"/>
        <v>5.712402768891818E-2</v>
      </c>
      <c r="J63" s="2">
        <f t="shared" si="42"/>
        <v>7.5331559882817569E-4</v>
      </c>
      <c r="K63">
        <v>35672</v>
      </c>
    </row>
    <row r="64" spans="1:11" x14ac:dyDescent="0.2">
      <c r="A64" s="4" t="s">
        <v>8</v>
      </c>
      <c r="B64" s="5">
        <v>2</v>
      </c>
      <c r="C64" s="1" t="s">
        <v>13</v>
      </c>
      <c r="D64" s="6">
        <v>1241292</v>
      </c>
      <c r="E64" s="3">
        <v>668848</v>
      </c>
      <c r="F64" s="3">
        <v>68112</v>
      </c>
      <c r="G64" s="3">
        <v>1037</v>
      </c>
      <c r="H64" s="2">
        <f t="shared" si="42"/>
        <v>0.53883212008133463</v>
      </c>
      <c r="I64" s="2">
        <f t="shared" si="42"/>
        <v>5.487185932077223E-2</v>
      </c>
      <c r="J64" s="2">
        <f t="shared" si="42"/>
        <v>8.3541986897522902E-4</v>
      </c>
      <c r="K64">
        <v>28620</v>
      </c>
    </row>
    <row r="65" spans="1:11" x14ac:dyDescent="0.2">
      <c r="A65" s="4" t="s">
        <v>9</v>
      </c>
      <c r="B65" s="5">
        <v>3</v>
      </c>
      <c r="C65" s="1" t="s">
        <v>13</v>
      </c>
      <c r="D65" s="6">
        <v>2874064</v>
      </c>
      <c r="E65" s="3">
        <v>1480816</v>
      </c>
      <c r="F65" s="3">
        <v>133460</v>
      </c>
      <c r="G65" s="3">
        <v>2472</v>
      </c>
      <c r="H65" s="2">
        <f t="shared" si="42"/>
        <v>0.51523417710948682</v>
      </c>
      <c r="I65" s="2">
        <f t="shared" si="42"/>
        <v>4.6435987507585076E-2</v>
      </c>
      <c r="J65" s="2">
        <f t="shared" si="42"/>
        <v>8.6010610758841834E-4</v>
      </c>
      <c r="K65">
        <v>35518</v>
      </c>
    </row>
    <row r="66" spans="1:11" x14ac:dyDescent="0.2">
      <c r="A66" s="4" t="s">
        <v>10</v>
      </c>
      <c r="B66" s="5">
        <v>1</v>
      </c>
      <c r="C66" s="1" t="s">
        <v>14</v>
      </c>
      <c r="D66" s="6">
        <v>1393116</v>
      </c>
      <c r="E66" s="6">
        <v>732230</v>
      </c>
      <c r="F66" s="6">
        <v>83094</v>
      </c>
      <c r="G66" s="6">
        <v>893</v>
      </c>
      <c r="H66" s="2">
        <f t="shared" si="42"/>
        <v>0.52560590790716644</v>
      </c>
      <c r="I66" s="2">
        <f t="shared" si="42"/>
        <v>5.9646145762449074E-2</v>
      </c>
      <c r="J66" s="2">
        <f t="shared" si="42"/>
        <v>6.4100907605683954E-4</v>
      </c>
      <c r="K66">
        <v>30283</v>
      </c>
    </row>
    <row r="67" spans="1:11" x14ac:dyDescent="0.2">
      <c r="A67" s="4" t="s">
        <v>11</v>
      </c>
      <c r="B67" s="5">
        <v>2</v>
      </c>
      <c r="C67" s="1" t="s">
        <v>14</v>
      </c>
      <c r="D67" s="6">
        <v>3385387</v>
      </c>
      <c r="E67" s="6">
        <v>1873368</v>
      </c>
      <c r="F67" s="6">
        <v>182045</v>
      </c>
      <c r="G67" s="6">
        <v>2367</v>
      </c>
      <c r="H67" s="2">
        <f t="shared" si="42"/>
        <v>0.5533689353683936</v>
      </c>
      <c r="I67" s="2">
        <f t="shared" si="42"/>
        <v>5.3773763531318575E-2</v>
      </c>
      <c r="J67" s="2">
        <f t="shared" si="42"/>
        <v>6.9918151159675389E-4</v>
      </c>
      <c r="K67">
        <v>39935</v>
      </c>
    </row>
    <row r="68" spans="1:11" x14ac:dyDescent="0.2">
      <c r="A68" s="7" t="s">
        <v>12</v>
      </c>
      <c r="B68" s="8">
        <v>3</v>
      </c>
      <c r="C68" s="9" t="s">
        <v>14</v>
      </c>
      <c r="D68" s="10">
        <v>3217619</v>
      </c>
      <c r="E68" s="10">
        <v>1763325</v>
      </c>
      <c r="F68" s="10">
        <v>161458</v>
      </c>
      <c r="G68" s="10">
        <v>2532</v>
      </c>
      <c r="H68" s="11">
        <f t="shared" si="42"/>
        <v>0.54802168932990514</v>
      </c>
      <c r="I68" s="11">
        <f t="shared" si="42"/>
        <v>5.0179340686389531E-2</v>
      </c>
      <c r="J68" s="11">
        <f t="shared" si="42"/>
        <v>7.8691728262420132E-4</v>
      </c>
      <c r="K68" s="7">
        <v>38482</v>
      </c>
    </row>
    <row r="69" spans="1:11" x14ac:dyDescent="0.2">
      <c r="C69" t="s">
        <v>5</v>
      </c>
      <c r="D69" s="17">
        <f>AVERAGE(D63:D68)</f>
        <v>2365048</v>
      </c>
      <c r="E69" s="17">
        <f t="shared" ref="E69" si="43">AVERAGE(E63:E68)</f>
        <v>1267076.1666666667</v>
      </c>
      <c r="F69" s="17">
        <f t="shared" ref="F69" si="44">AVERAGE(F63:F68)</f>
        <v>124486.5</v>
      </c>
      <c r="G69" s="17">
        <f t="shared" ref="G69" si="45">AVERAGE(G63:G68)</f>
        <v>1811.1666666666667</v>
      </c>
      <c r="H69" s="2">
        <f t="shared" ref="H69" si="46">AVERAGE(H63:H68)</f>
        <v>0.5337420784975393</v>
      </c>
      <c r="I69" s="2">
        <f t="shared" ref="I69" si="47">AVERAGE(I63:I68)</f>
        <v>5.3671854082905444E-2</v>
      </c>
      <c r="J69" s="2">
        <f t="shared" ref="J69" si="48">AVERAGE(J63:J68)</f>
        <v>7.6265824094493625E-4</v>
      </c>
      <c r="K69" s="17">
        <f>AVERAGE(K63:K68)</f>
        <v>34751.666666666664</v>
      </c>
    </row>
    <row r="70" spans="1:11" x14ac:dyDescent="0.2">
      <c r="A70" s="7"/>
      <c r="B70" s="7"/>
      <c r="C70" s="7" t="s">
        <v>6</v>
      </c>
      <c r="D70" s="16">
        <f>STDEV(D63:D68)</f>
        <v>929137.00023430341</v>
      </c>
      <c r="E70" s="16">
        <f t="shared" ref="E70:J70" si="49">STDEV(E63:E68)</f>
        <v>517114.93287292216</v>
      </c>
      <c r="F70" s="16">
        <f t="shared" si="49"/>
        <v>44010.742269359645</v>
      </c>
      <c r="G70" s="16">
        <f t="shared" si="49"/>
        <v>744.0057571461839</v>
      </c>
      <c r="H70" s="11">
        <f t="shared" si="49"/>
        <v>1.5338524783079699E-2</v>
      </c>
      <c r="I70" s="11">
        <f t="shared" si="49"/>
        <v>4.7668747981372541E-3</v>
      </c>
      <c r="J70" s="11">
        <f t="shared" si="49"/>
        <v>8.2817802166703847E-5</v>
      </c>
      <c r="K70" s="16">
        <f>STDEV(K63:K68)</f>
        <v>4467.2794704010412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25AF-F687-FE4E-97D5-8910050383A5}">
  <dimension ref="A1:K53"/>
  <sheetViews>
    <sheetView topLeftCell="A22" workbookViewId="0">
      <selection activeCell="F48" sqref="F48:F53"/>
    </sheetView>
  </sheetViews>
  <sheetFormatPr baseColWidth="10" defaultRowHeight="16" x14ac:dyDescent="0.2"/>
  <cols>
    <col min="1" max="1" width="31" customWidth="1"/>
  </cols>
  <sheetData>
    <row r="1" spans="1:11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11" x14ac:dyDescent="0.2">
      <c r="A2" t="s">
        <v>18</v>
      </c>
      <c r="B2">
        <v>732230</v>
      </c>
      <c r="C2">
        <v>1873368</v>
      </c>
      <c r="D2">
        <v>1763325</v>
      </c>
      <c r="E2">
        <v>1083870</v>
      </c>
      <c r="F2">
        <v>668848</v>
      </c>
      <c r="G2">
        <v>1480816</v>
      </c>
      <c r="I2" t="s">
        <v>54</v>
      </c>
      <c r="J2" t="s">
        <v>55</v>
      </c>
      <c r="K2" t="s">
        <v>56</v>
      </c>
    </row>
    <row r="3" spans="1:11" x14ac:dyDescent="0.2">
      <c r="A3" t="s">
        <v>38</v>
      </c>
      <c r="B3">
        <v>298225</v>
      </c>
      <c r="C3">
        <v>581460</v>
      </c>
      <c r="D3">
        <v>502540</v>
      </c>
      <c r="E3">
        <v>418957</v>
      </c>
      <c r="F3">
        <v>220835</v>
      </c>
      <c r="G3">
        <v>554927</v>
      </c>
      <c r="I3">
        <f>E2</f>
        <v>1083870</v>
      </c>
      <c r="J3">
        <f>E11</f>
        <v>118750</v>
      </c>
      <c r="K3">
        <f>E13</f>
        <v>1566</v>
      </c>
    </row>
    <row r="4" spans="1:11" x14ac:dyDescent="0.2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>
        <f>F2</f>
        <v>668848</v>
      </c>
      <c r="J4">
        <f>F11</f>
        <v>68112</v>
      </c>
      <c r="K4">
        <f>F13</f>
        <v>1037</v>
      </c>
    </row>
    <row r="5" spans="1:11" x14ac:dyDescent="0.2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>
        <f>G2</f>
        <v>1480816</v>
      </c>
      <c r="J5">
        <f>G11</f>
        <v>133460</v>
      </c>
      <c r="K5">
        <f>G13</f>
        <v>2472</v>
      </c>
    </row>
    <row r="6" spans="1:11" x14ac:dyDescent="0.2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>
        <f>B2</f>
        <v>732230</v>
      </c>
      <c r="J6">
        <f>B11</f>
        <v>83094</v>
      </c>
      <c r="K6">
        <f>B13</f>
        <v>893</v>
      </c>
    </row>
    <row r="7" spans="1:11" x14ac:dyDescent="0.2">
      <c r="A7" t="s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>
        <f>C2</f>
        <v>1873368</v>
      </c>
      <c r="J7">
        <f>C11</f>
        <v>182045</v>
      </c>
      <c r="K7">
        <f>C13</f>
        <v>2367</v>
      </c>
    </row>
    <row r="8" spans="1:11" x14ac:dyDescent="0.2">
      <c r="A8" t="s">
        <v>43</v>
      </c>
      <c r="B8">
        <v>953624</v>
      </c>
      <c r="C8">
        <v>2576249</v>
      </c>
      <c r="D8">
        <v>2829705</v>
      </c>
      <c r="E8">
        <v>1607435</v>
      </c>
      <c r="F8">
        <v>993019</v>
      </c>
      <c r="G8">
        <v>2538513</v>
      </c>
      <c r="I8">
        <f>D2</f>
        <v>1763325</v>
      </c>
      <c r="J8">
        <f>D11</f>
        <v>161458</v>
      </c>
      <c r="K8">
        <f>D13</f>
        <v>2532</v>
      </c>
    </row>
    <row r="9" spans="1:11" x14ac:dyDescent="0.2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1" x14ac:dyDescent="0.2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1" x14ac:dyDescent="0.2">
      <c r="A11" t="s">
        <v>16</v>
      </c>
      <c r="B11">
        <v>83094</v>
      </c>
      <c r="C11">
        <v>182045</v>
      </c>
      <c r="D11">
        <v>161458</v>
      </c>
      <c r="E11">
        <v>118750</v>
      </c>
      <c r="F11">
        <v>68112</v>
      </c>
      <c r="G11">
        <v>133460</v>
      </c>
    </row>
    <row r="12" spans="1:11" x14ac:dyDescent="0.2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1" x14ac:dyDescent="0.2">
      <c r="A13" t="s">
        <v>17</v>
      </c>
      <c r="B13">
        <v>893</v>
      </c>
      <c r="C13">
        <v>2367</v>
      </c>
      <c r="D13">
        <v>2532</v>
      </c>
      <c r="E13">
        <v>1566</v>
      </c>
      <c r="F13">
        <v>1037</v>
      </c>
      <c r="G13">
        <v>2472</v>
      </c>
    </row>
    <row r="17" spans="1:6" x14ac:dyDescent="0.2">
      <c r="B17" t="s">
        <v>57</v>
      </c>
      <c r="C17" t="s">
        <v>58</v>
      </c>
      <c r="D17" t="s">
        <v>59</v>
      </c>
    </row>
    <row r="18" spans="1:6" x14ac:dyDescent="0.2">
      <c r="A18">
        <v>1</v>
      </c>
      <c r="B18" t="s">
        <v>15</v>
      </c>
      <c r="C18" t="s">
        <v>27</v>
      </c>
      <c r="D18">
        <v>27671</v>
      </c>
      <c r="F18">
        <v>32574</v>
      </c>
    </row>
    <row r="19" spans="1:6" x14ac:dyDescent="0.2">
      <c r="A19">
        <v>2</v>
      </c>
      <c r="B19" t="s">
        <v>15</v>
      </c>
      <c r="C19" t="s">
        <v>28</v>
      </c>
      <c r="D19">
        <v>36856</v>
      </c>
      <c r="F19">
        <v>26202</v>
      </c>
    </row>
    <row r="20" spans="1:6" x14ac:dyDescent="0.2">
      <c r="A20">
        <v>3</v>
      </c>
      <c r="B20" t="s">
        <v>15</v>
      </c>
      <c r="C20" t="s">
        <v>29</v>
      </c>
      <c r="D20">
        <v>35557</v>
      </c>
      <c r="F20">
        <v>32598</v>
      </c>
    </row>
    <row r="21" spans="1:6" x14ac:dyDescent="0.2">
      <c r="A21">
        <v>4</v>
      </c>
      <c r="B21" t="s">
        <v>15</v>
      </c>
      <c r="C21" t="s">
        <v>30</v>
      </c>
      <c r="D21">
        <v>32574</v>
      </c>
      <c r="F21">
        <v>27671</v>
      </c>
    </row>
    <row r="22" spans="1:6" x14ac:dyDescent="0.2">
      <c r="A22">
        <v>5</v>
      </c>
      <c r="B22" t="s">
        <v>15</v>
      </c>
      <c r="C22" t="s">
        <v>31</v>
      </c>
      <c r="D22">
        <v>26202</v>
      </c>
      <c r="F22">
        <v>36856</v>
      </c>
    </row>
    <row r="23" spans="1:6" x14ac:dyDescent="0.2">
      <c r="A23">
        <v>6</v>
      </c>
      <c r="B23" t="s">
        <v>15</v>
      </c>
      <c r="C23" t="s">
        <v>32</v>
      </c>
      <c r="D23">
        <v>32598</v>
      </c>
      <c r="F23">
        <v>35557</v>
      </c>
    </row>
    <row r="24" spans="1:6" x14ac:dyDescent="0.2">
      <c r="A24">
        <v>7</v>
      </c>
      <c r="B24" t="s">
        <v>33</v>
      </c>
      <c r="C24" t="s">
        <v>27</v>
      </c>
      <c r="D24">
        <v>29618</v>
      </c>
      <c r="F24">
        <v>34766</v>
      </c>
    </row>
    <row r="25" spans="1:6" x14ac:dyDescent="0.2">
      <c r="A25">
        <v>8</v>
      </c>
      <c r="B25" t="s">
        <v>33</v>
      </c>
      <c r="C25" t="s">
        <v>28</v>
      </c>
      <c r="D25">
        <v>39054</v>
      </c>
      <c r="F25">
        <v>28017</v>
      </c>
    </row>
    <row r="26" spans="1:6" x14ac:dyDescent="0.2">
      <c r="A26">
        <v>9</v>
      </c>
      <c r="B26" t="s">
        <v>33</v>
      </c>
      <c r="C26" t="s">
        <v>29</v>
      </c>
      <c r="D26">
        <v>37660</v>
      </c>
      <c r="F26">
        <v>34722</v>
      </c>
    </row>
    <row r="27" spans="1:6" x14ac:dyDescent="0.2">
      <c r="A27">
        <v>10</v>
      </c>
      <c r="B27" t="s">
        <v>33</v>
      </c>
      <c r="C27" t="s">
        <v>30</v>
      </c>
      <c r="D27">
        <v>34766</v>
      </c>
      <c r="F27">
        <v>29618</v>
      </c>
    </row>
    <row r="28" spans="1:6" x14ac:dyDescent="0.2">
      <c r="A28">
        <v>11</v>
      </c>
      <c r="B28" t="s">
        <v>33</v>
      </c>
      <c r="C28" t="s">
        <v>31</v>
      </c>
      <c r="D28">
        <v>28017</v>
      </c>
      <c r="F28">
        <v>39054</v>
      </c>
    </row>
    <row r="29" spans="1:6" x14ac:dyDescent="0.2">
      <c r="A29">
        <v>12</v>
      </c>
      <c r="B29" t="s">
        <v>33</v>
      </c>
      <c r="C29" t="s">
        <v>32</v>
      </c>
      <c r="D29">
        <v>34722</v>
      </c>
      <c r="F29">
        <v>37660</v>
      </c>
    </row>
    <row r="30" spans="1:6" x14ac:dyDescent="0.2">
      <c r="A30">
        <v>13</v>
      </c>
      <c r="B30" t="s">
        <v>34</v>
      </c>
      <c r="C30" t="s">
        <v>27</v>
      </c>
      <c r="D30">
        <v>29840</v>
      </c>
      <c r="F30">
        <v>35046</v>
      </c>
    </row>
    <row r="31" spans="1:6" x14ac:dyDescent="0.2">
      <c r="A31">
        <v>14</v>
      </c>
      <c r="B31" t="s">
        <v>34</v>
      </c>
      <c r="C31" t="s">
        <v>28</v>
      </c>
      <c r="D31">
        <v>39321</v>
      </c>
      <c r="F31">
        <v>28209</v>
      </c>
    </row>
    <row r="32" spans="1:6" x14ac:dyDescent="0.2">
      <c r="A32">
        <v>15</v>
      </c>
      <c r="B32" t="s">
        <v>34</v>
      </c>
      <c r="C32" t="s">
        <v>29</v>
      </c>
      <c r="D32">
        <v>37923</v>
      </c>
      <c r="F32">
        <v>34960</v>
      </c>
    </row>
    <row r="33" spans="1:6" x14ac:dyDescent="0.2">
      <c r="A33">
        <v>16</v>
      </c>
      <c r="B33" t="s">
        <v>34</v>
      </c>
      <c r="C33" t="s">
        <v>30</v>
      </c>
      <c r="D33">
        <v>35046</v>
      </c>
      <c r="F33">
        <v>29840</v>
      </c>
    </row>
    <row r="34" spans="1:6" x14ac:dyDescent="0.2">
      <c r="A34">
        <v>17</v>
      </c>
      <c r="B34" t="s">
        <v>34</v>
      </c>
      <c r="C34" t="s">
        <v>31</v>
      </c>
      <c r="D34">
        <v>28209</v>
      </c>
      <c r="F34">
        <v>39321</v>
      </c>
    </row>
    <row r="35" spans="1:6" x14ac:dyDescent="0.2">
      <c r="A35">
        <v>18</v>
      </c>
      <c r="B35" t="s">
        <v>34</v>
      </c>
      <c r="C35" t="s">
        <v>32</v>
      </c>
      <c r="D35">
        <v>34960</v>
      </c>
      <c r="F35">
        <v>37923</v>
      </c>
    </row>
    <row r="36" spans="1:6" x14ac:dyDescent="0.2">
      <c r="A36">
        <v>19</v>
      </c>
      <c r="B36" t="s">
        <v>35</v>
      </c>
      <c r="C36" t="s">
        <v>27</v>
      </c>
      <c r="D36">
        <v>30049</v>
      </c>
      <c r="F36">
        <v>35339</v>
      </c>
    </row>
    <row r="37" spans="1:6" x14ac:dyDescent="0.2">
      <c r="A37">
        <v>20</v>
      </c>
      <c r="B37" t="s">
        <v>35</v>
      </c>
      <c r="C37" t="s">
        <v>28</v>
      </c>
      <c r="D37">
        <v>39600</v>
      </c>
      <c r="F37">
        <v>28390</v>
      </c>
    </row>
    <row r="38" spans="1:6" x14ac:dyDescent="0.2">
      <c r="A38">
        <v>21</v>
      </c>
      <c r="B38" t="s">
        <v>35</v>
      </c>
      <c r="C38" t="s">
        <v>29</v>
      </c>
      <c r="D38">
        <v>38169</v>
      </c>
      <c r="F38">
        <v>35197</v>
      </c>
    </row>
    <row r="39" spans="1:6" x14ac:dyDescent="0.2">
      <c r="A39">
        <v>22</v>
      </c>
      <c r="B39" t="s">
        <v>35</v>
      </c>
      <c r="C39" t="s">
        <v>30</v>
      </c>
      <c r="D39">
        <v>35339</v>
      </c>
      <c r="F39">
        <v>30049</v>
      </c>
    </row>
    <row r="40" spans="1:6" x14ac:dyDescent="0.2">
      <c r="A40">
        <v>23</v>
      </c>
      <c r="B40" t="s">
        <v>35</v>
      </c>
      <c r="C40" t="s">
        <v>31</v>
      </c>
      <c r="D40">
        <v>28390</v>
      </c>
      <c r="F40">
        <v>39600</v>
      </c>
    </row>
    <row r="41" spans="1:6" x14ac:dyDescent="0.2">
      <c r="A41">
        <v>24</v>
      </c>
      <c r="B41" t="s">
        <v>35</v>
      </c>
      <c r="C41" t="s">
        <v>32</v>
      </c>
      <c r="D41">
        <v>35197</v>
      </c>
      <c r="F41">
        <v>38169</v>
      </c>
    </row>
    <row r="42" spans="1:6" x14ac:dyDescent="0.2">
      <c r="A42">
        <v>25</v>
      </c>
      <c r="B42" t="s">
        <v>36</v>
      </c>
      <c r="C42" t="s">
        <v>27</v>
      </c>
      <c r="D42">
        <v>30171</v>
      </c>
      <c r="F42">
        <v>35510</v>
      </c>
    </row>
    <row r="43" spans="1:6" x14ac:dyDescent="0.2">
      <c r="A43">
        <v>26</v>
      </c>
      <c r="B43" t="s">
        <v>36</v>
      </c>
      <c r="C43" t="s">
        <v>28</v>
      </c>
      <c r="D43">
        <v>39789</v>
      </c>
      <c r="F43">
        <v>28524</v>
      </c>
    </row>
    <row r="44" spans="1:6" x14ac:dyDescent="0.2">
      <c r="A44">
        <v>27</v>
      </c>
      <c r="B44" t="s">
        <v>36</v>
      </c>
      <c r="C44" t="s">
        <v>29</v>
      </c>
      <c r="D44">
        <v>38330</v>
      </c>
      <c r="F44">
        <v>35379</v>
      </c>
    </row>
    <row r="45" spans="1:6" x14ac:dyDescent="0.2">
      <c r="A45">
        <v>28</v>
      </c>
      <c r="B45" t="s">
        <v>36</v>
      </c>
      <c r="C45" t="s">
        <v>30</v>
      </c>
      <c r="D45">
        <v>35510</v>
      </c>
      <c r="F45">
        <v>30171</v>
      </c>
    </row>
    <row r="46" spans="1:6" x14ac:dyDescent="0.2">
      <c r="A46">
        <v>29</v>
      </c>
      <c r="B46" t="s">
        <v>36</v>
      </c>
      <c r="C46" t="s">
        <v>31</v>
      </c>
      <c r="D46">
        <v>28524</v>
      </c>
      <c r="F46">
        <v>39789</v>
      </c>
    </row>
    <row r="47" spans="1:6" x14ac:dyDescent="0.2">
      <c r="A47">
        <v>30</v>
      </c>
      <c r="B47" t="s">
        <v>36</v>
      </c>
      <c r="C47" t="s">
        <v>32</v>
      </c>
      <c r="D47">
        <v>35379</v>
      </c>
      <c r="F47">
        <v>38330</v>
      </c>
    </row>
    <row r="48" spans="1:6" x14ac:dyDescent="0.2">
      <c r="A48">
        <v>31</v>
      </c>
      <c r="B48" t="s">
        <v>37</v>
      </c>
      <c r="C48" t="s">
        <v>27</v>
      </c>
      <c r="D48">
        <v>30283</v>
      </c>
      <c r="F48">
        <v>35672</v>
      </c>
    </row>
    <row r="49" spans="1:6" x14ac:dyDescent="0.2">
      <c r="A49">
        <v>32</v>
      </c>
      <c r="B49" t="s">
        <v>37</v>
      </c>
      <c r="C49" t="s">
        <v>28</v>
      </c>
      <c r="D49">
        <v>39935</v>
      </c>
      <c r="F49">
        <v>28620</v>
      </c>
    </row>
    <row r="50" spans="1:6" x14ac:dyDescent="0.2">
      <c r="A50">
        <v>33</v>
      </c>
      <c r="B50" t="s">
        <v>37</v>
      </c>
      <c r="C50" t="s">
        <v>29</v>
      </c>
      <c r="D50">
        <v>38482</v>
      </c>
      <c r="F50">
        <v>35518</v>
      </c>
    </row>
    <row r="51" spans="1:6" x14ac:dyDescent="0.2">
      <c r="A51">
        <v>34</v>
      </c>
      <c r="B51" t="s">
        <v>37</v>
      </c>
      <c r="C51" t="s">
        <v>30</v>
      </c>
      <c r="D51">
        <v>35672</v>
      </c>
      <c r="F51">
        <v>30283</v>
      </c>
    </row>
    <row r="52" spans="1:6" x14ac:dyDescent="0.2">
      <c r="A52">
        <v>35</v>
      </c>
      <c r="B52" t="s">
        <v>37</v>
      </c>
      <c r="C52" t="s">
        <v>31</v>
      </c>
      <c r="D52">
        <v>28620</v>
      </c>
      <c r="F52">
        <v>39935</v>
      </c>
    </row>
    <row r="53" spans="1:6" x14ac:dyDescent="0.2">
      <c r="A53">
        <v>36</v>
      </c>
      <c r="B53" t="s">
        <v>37</v>
      </c>
      <c r="C53" t="s">
        <v>32</v>
      </c>
      <c r="D53">
        <v>35518</v>
      </c>
      <c r="F53">
        <v>38482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2020-11-23T00:24:48Z</dcterms:modified>
</cp:coreProperties>
</file>