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un/Google Drive/research/wheat_tagseq/files/"/>
    </mc:Choice>
  </mc:AlternateContent>
  <xr:revisionPtr revIDLastSave="0" documentId="13_ncr:1_{C758662F-AB67-5C4F-A1EC-AA2D21208C93}" xr6:coauthVersionLast="45" xr6:coauthVersionMax="45" xr10:uidLastSave="{00000000-0000-0000-0000-000000000000}"/>
  <bookViews>
    <workbookView xWindow="680" yWindow="6900" windowWidth="26960" windowHeight="11000" activeTab="1" xr2:uid="{0A1B866E-BAB2-5B48-9BA1-056163FF4A88}"/>
  </bookViews>
  <sheets>
    <sheet name="Trimmomatic" sheetId="2" r:id="rId1"/>
    <sheet name="HISAT" sheetId="1" r:id="rId2"/>
    <sheet name="EAGLE-R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6" i="1" l="1"/>
  <c r="Q7" i="1" l="1"/>
  <c r="Q4" i="1"/>
  <c r="Q5" i="1"/>
  <c r="Q6" i="1"/>
  <c r="Q3" i="1"/>
  <c r="Q2" i="1"/>
  <c r="Q8" i="1" s="1"/>
  <c r="P5" i="1"/>
  <c r="Q9" i="1" l="1"/>
  <c r="H5" i="1"/>
  <c r="I19" i="3" l="1"/>
  <c r="I18" i="3"/>
  <c r="I17" i="3"/>
  <c r="I16" i="3"/>
  <c r="I15" i="3"/>
  <c r="I14" i="3"/>
  <c r="I21" i="3" s="1"/>
  <c r="S7" i="3"/>
  <c r="R7" i="3"/>
  <c r="Q7" i="3"/>
  <c r="S6" i="3"/>
  <c r="R6" i="3"/>
  <c r="Q6" i="3"/>
  <c r="S5" i="3"/>
  <c r="R5" i="3"/>
  <c r="Q5" i="3"/>
  <c r="S4" i="3"/>
  <c r="R4" i="3"/>
  <c r="Q4" i="3"/>
  <c r="S3" i="3"/>
  <c r="R3" i="3"/>
  <c r="Q3" i="3"/>
  <c r="S2" i="3"/>
  <c r="S9" i="3" s="1"/>
  <c r="R2" i="3"/>
  <c r="R9" i="3" s="1"/>
  <c r="Q2" i="3"/>
  <c r="Q9" i="3" s="1"/>
  <c r="Q8" i="3" l="1"/>
  <c r="R8" i="3"/>
  <c r="I20" i="3"/>
  <c r="S8" i="3"/>
  <c r="P8" i="1"/>
  <c r="P9" i="1"/>
  <c r="P3" i="1"/>
  <c r="P4" i="1"/>
  <c r="P6" i="1"/>
  <c r="P7" i="1"/>
  <c r="P2" i="1"/>
  <c r="L2" i="1"/>
  <c r="H3" i="1"/>
  <c r="H4" i="1"/>
  <c r="G3" i="1"/>
  <c r="G4" i="1"/>
  <c r="G5" i="1"/>
  <c r="G6" i="1"/>
  <c r="G7" i="1"/>
  <c r="H7" i="1" s="1"/>
  <c r="G2" i="1"/>
  <c r="H2" i="1" s="1"/>
  <c r="E9" i="2"/>
  <c r="D9" i="2"/>
  <c r="E8" i="2"/>
  <c r="D8" i="2"/>
  <c r="F7" i="2"/>
  <c r="F6" i="2"/>
  <c r="F5" i="2"/>
  <c r="F4" i="2"/>
  <c r="F3" i="2"/>
  <c r="F2" i="2"/>
  <c r="F9" i="2" s="1"/>
  <c r="F8" i="2" l="1"/>
  <c r="O9" i="1" l="1"/>
  <c r="O8" i="1"/>
  <c r="K9" i="1"/>
  <c r="J9" i="1"/>
  <c r="I9" i="1"/>
  <c r="K8" i="1"/>
  <c r="J8" i="1"/>
  <c r="I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L9" i="1" s="1"/>
  <c r="N2" i="1"/>
  <c r="N8" i="1" s="1"/>
  <c r="M2" i="1"/>
  <c r="M9" i="1" l="1"/>
  <c r="L8" i="1"/>
  <c r="N9" i="1"/>
  <c r="M8" i="1"/>
  <c r="H8" i="1" l="1"/>
  <c r="H9" i="1"/>
</calcChain>
</file>

<file path=xl/sharedStrings.xml><?xml version="1.0" encoding="utf-8"?>
<sst xmlns="http://schemas.openxmlformats.org/spreadsheetml/2006/main" count="108" uniqueCount="45">
  <si>
    <t>library name</t>
  </si>
  <si>
    <t>replicate</t>
  </si>
  <si>
    <t>sampling date</t>
  </si>
  <si>
    <t>#reads in FASTQ</t>
  </si>
  <si>
    <t>#reads after QC</t>
  </si>
  <si>
    <t>input</t>
  </si>
  <si>
    <t>uniquely mapped on A</t>
  </si>
  <si>
    <t>uniquely mapped on B</t>
  </si>
  <si>
    <t>uniquely mapped on D</t>
  </si>
  <si>
    <t>uniquely mapped</t>
  </si>
  <si>
    <t>E/D</t>
  </si>
  <si>
    <t>average</t>
  </si>
  <si>
    <t>s.d</t>
  </si>
  <si>
    <t>20181109.A-TaeRS_1_Tae_RS1_1</t>
  </si>
  <si>
    <t>20181109.A-TaeRS_1_Tae_RS1_2</t>
  </si>
  <si>
    <t>20181109.A-TaeRS_1_Tae_RS1_3</t>
  </si>
  <si>
    <t>20181109.A-TaeRS_1_Tae_RS1_16</t>
  </si>
  <si>
    <t>20181109.A-TaeRS_1_Tae_RS1_17</t>
  </si>
  <si>
    <t>20181109.A-TaeRS_1_Tae_RS1_18</t>
  </si>
  <si>
    <t>treatment</t>
  </si>
  <si>
    <t>control</t>
  </si>
  <si>
    <t>cold</t>
  </si>
  <si>
    <t>time</t>
  </si>
  <si>
    <t>unmapped</t>
  </si>
  <si>
    <t>multi-mapped</t>
  </si>
  <si>
    <t>F / (F+G)</t>
  </si>
  <si>
    <t>%A</t>
  </si>
  <si>
    <t>%B</t>
  </si>
  <si>
    <t>%D</t>
  </si>
  <si>
    <t>time [sec/1M reads]</t>
  </si>
  <si>
    <t>multi-loci on A</t>
  </si>
  <si>
    <t>unmapped on A</t>
  </si>
  <si>
    <t>multi-loci on B</t>
  </si>
  <si>
    <t>unmapped on B</t>
  </si>
  <si>
    <t>multi-loci on D</t>
  </si>
  <si>
    <t>unmapped on D</t>
  </si>
  <si>
    <t>A reads</t>
  </si>
  <si>
    <t>B reads</t>
  </si>
  <si>
    <t>D reads</t>
  </si>
  <si>
    <t>Execution time</t>
  </si>
  <si>
    <t>STAR</t>
  </si>
  <si>
    <t>EAGLE</t>
  </si>
  <si>
    <t>EAGLE-RC</t>
  </si>
  <si>
    <t>total time</t>
  </si>
  <si>
    <t>time [min/1M reads]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</si>
</sst>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  <numFmt numFmtId="165" formatCode="0.0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2" applyNumberFormat="1" applyFont="1"/>
    <xf numFmtId="41" fontId="0" fillId="0" borderId="0" xfId="1" applyFont="1"/>
    <xf numFmtId="0" fontId="0" fillId="0" borderId="0" xfId="0" applyBorder="1"/>
    <xf numFmtId="0" fontId="0" fillId="0" borderId="0" xfId="0" applyNumberFormat="1" applyBorder="1"/>
    <xf numFmtId="41" fontId="0" fillId="0" borderId="0" xfId="1" applyFont="1" applyBorder="1"/>
    <xf numFmtId="10" fontId="0" fillId="0" borderId="0" xfId="2" applyNumberFormat="1" applyFont="1" applyBorder="1"/>
    <xf numFmtId="0" fontId="0" fillId="0" borderId="1" xfId="0" applyBorder="1"/>
    <xf numFmtId="0" fontId="0" fillId="0" borderId="1" xfId="0" applyNumberFormat="1" applyBorder="1"/>
    <xf numFmtId="14" fontId="0" fillId="0" borderId="1" xfId="0" applyNumberFormat="1" applyBorder="1"/>
    <xf numFmtId="41" fontId="0" fillId="0" borderId="1" xfId="1" applyFont="1" applyBorder="1"/>
    <xf numFmtId="10" fontId="0" fillId="0" borderId="1" xfId="2" applyNumberFormat="1" applyFont="1" applyBorder="1"/>
    <xf numFmtId="0" fontId="0" fillId="0" borderId="2" xfId="0" applyBorder="1"/>
    <xf numFmtId="0" fontId="0" fillId="0" borderId="2" xfId="0" applyNumberFormat="1" applyBorder="1"/>
    <xf numFmtId="41" fontId="0" fillId="0" borderId="2" xfId="1" applyFont="1" applyBorder="1"/>
    <xf numFmtId="10" fontId="0" fillId="0" borderId="2" xfId="2" applyNumberFormat="1" applyFont="1" applyBorder="1"/>
    <xf numFmtId="164" fontId="0" fillId="0" borderId="2" xfId="1" applyNumberFormat="1" applyFont="1" applyBorder="1"/>
    <xf numFmtId="164" fontId="0" fillId="0" borderId="1" xfId="1" applyNumberFormat="1" applyFont="1" applyBorder="1"/>
    <xf numFmtId="164" fontId="0" fillId="0" borderId="0" xfId="1" applyNumberFormat="1" applyFont="1"/>
    <xf numFmtId="165" fontId="0" fillId="0" borderId="0" xfId="0" applyNumberFormat="1"/>
    <xf numFmtId="165" fontId="0" fillId="0" borderId="1" xfId="0" applyNumberFormat="1" applyBorder="1"/>
    <xf numFmtId="165" fontId="0" fillId="0" borderId="2" xfId="1" applyNumberFormat="1" applyFont="1" applyBorder="1"/>
    <xf numFmtId="165" fontId="0" fillId="0" borderId="1" xfId="1" applyNumberFormat="1" applyFont="1" applyBorder="1"/>
    <xf numFmtId="41" fontId="0" fillId="0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0" fillId="0" borderId="5" xfId="1" applyFont="1" applyBorder="1"/>
    <xf numFmtId="41" fontId="0" fillId="0" borderId="6" xfId="1" applyFont="1" applyBorder="1"/>
    <xf numFmtId="41" fontId="0" fillId="0" borderId="3" xfId="1" applyFont="1" applyBorder="1"/>
    <xf numFmtId="41" fontId="0" fillId="0" borderId="4" xfId="1" applyFont="1" applyBorder="1"/>
    <xf numFmtId="0" fontId="0" fillId="0" borderId="5" xfId="0" applyBorder="1"/>
    <xf numFmtId="0" fontId="0" fillId="0" borderId="6" xfId="0" applyBorder="1"/>
    <xf numFmtId="10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2" fontId="0" fillId="0" borderId="0" xfId="0" applyNumberFormat="1"/>
    <xf numFmtId="2" fontId="0" fillId="0" borderId="1" xfId="0" applyNumberFormat="1" applyBorder="1"/>
    <xf numFmtId="43" fontId="0" fillId="0" borderId="1" xfId="0" applyNumberFormat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1B20B-9F46-3B47-9DD5-5803BE1711DF}">
  <dimension ref="A1:F9"/>
  <sheetViews>
    <sheetView workbookViewId="0">
      <selection activeCell="E12" sqref="E12"/>
    </sheetView>
  </sheetViews>
  <sheetFormatPr baseColWidth="10" defaultRowHeight="16" x14ac:dyDescent="0.2"/>
  <cols>
    <col min="1" max="6" width="17.6640625" customWidth="1"/>
  </cols>
  <sheetData>
    <row r="1" spans="1:6" x14ac:dyDescent="0.2">
      <c r="A1" t="s">
        <v>0</v>
      </c>
      <c r="B1" t="s">
        <v>1</v>
      </c>
      <c r="C1" s="9" t="s">
        <v>2</v>
      </c>
      <c r="D1" t="s">
        <v>3</v>
      </c>
      <c r="E1" t="s">
        <v>4</v>
      </c>
      <c r="F1" t="s">
        <v>10</v>
      </c>
    </row>
    <row r="2" spans="1:6" x14ac:dyDescent="0.2">
      <c r="A2" s="14" t="s">
        <v>13</v>
      </c>
      <c r="B2" s="15">
        <v>1</v>
      </c>
      <c r="C2" s="1" t="s">
        <v>20</v>
      </c>
      <c r="D2" s="16">
        <v>2604973</v>
      </c>
      <c r="E2" s="16">
        <v>2078810</v>
      </c>
      <c r="F2" s="17">
        <f>E2/D2</f>
        <v>0.79801594872576409</v>
      </c>
    </row>
    <row r="3" spans="1:6" x14ac:dyDescent="0.2">
      <c r="A3" s="5" t="s">
        <v>14</v>
      </c>
      <c r="B3" s="6">
        <v>2</v>
      </c>
      <c r="C3" s="1" t="s">
        <v>20</v>
      </c>
      <c r="D3" s="7">
        <v>1596414</v>
      </c>
      <c r="E3" s="7">
        <v>1241292</v>
      </c>
      <c r="F3" s="8">
        <f t="shared" ref="F3:F7" si="0">E3/D3</f>
        <v>0.77755018435067591</v>
      </c>
    </row>
    <row r="4" spans="1:6" x14ac:dyDescent="0.2">
      <c r="A4" s="5" t="s">
        <v>15</v>
      </c>
      <c r="B4" s="6">
        <v>3</v>
      </c>
      <c r="C4" s="1" t="s">
        <v>20</v>
      </c>
      <c r="D4" s="7">
        <v>3694206</v>
      </c>
      <c r="E4" s="7">
        <v>2874064</v>
      </c>
      <c r="F4" s="8">
        <f t="shared" si="0"/>
        <v>0.77799234801740891</v>
      </c>
    </row>
    <row r="5" spans="1:6" x14ac:dyDescent="0.2">
      <c r="A5" s="5" t="s">
        <v>16</v>
      </c>
      <c r="B5" s="6">
        <v>1</v>
      </c>
      <c r="C5" s="1" t="s">
        <v>21</v>
      </c>
      <c r="D5" s="7">
        <v>1764702</v>
      </c>
      <c r="E5" s="7">
        <v>1393116</v>
      </c>
      <c r="F5" s="8">
        <f t="shared" si="0"/>
        <v>0.78943413675510088</v>
      </c>
    </row>
    <row r="6" spans="1:6" x14ac:dyDescent="0.2">
      <c r="A6" s="5" t="s">
        <v>17</v>
      </c>
      <c r="B6" s="6">
        <v>2</v>
      </c>
      <c r="C6" s="1" t="s">
        <v>21</v>
      </c>
      <c r="D6" s="7">
        <v>4347049</v>
      </c>
      <c r="E6" s="7">
        <v>3385387</v>
      </c>
      <c r="F6" s="8">
        <f t="shared" si="0"/>
        <v>0.77877820102786977</v>
      </c>
    </row>
    <row r="7" spans="1:6" x14ac:dyDescent="0.2">
      <c r="A7" s="9" t="s">
        <v>18</v>
      </c>
      <c r="B7" s="10">
        <v>3</v>
      </c>
      <c r="C7" s="11" t="s">
        <v>21</v>
      </c>
      <c r="D7" s="12">
        <v>4122508</v>
      </c>
      <c r="E7" s="25">
        <v>3217619</v>
      </c>
      <c r="F7" s="13">
        <f t="shared" si="0"/>
        <v>0.78050036531160161</v>
      </c>
    </row>
    <row r="8" spans="1:6" x14ac:dyDescent="0.2">
      <c r="C8" t="s">
        <v>11</v>
      </c>
      <c r="D8" s="20">
        <f>AVERAGE(D2:D7)</f>
        <v>3021642</v>
      </c>
      <c r="E8" s="20">
        <f t="shared" ref="E8:F8" si="1">AVERAGE(E2:E7)</f>
        <v>2365048</v>
      </c>
      <c r="F8" s="3">
        <f t="shared" si="1"/>
        <v>0.78371186403140358</v>
      </c>
    </row>
    <row r="9" spans="1:6" x14ac:dyDescent="0.2">
      <c r="A9" s="9"/>
      <c r="B9" s="9"/>
      <c r="C9" s="9" t="s">
        <v>12</v>
      </c>
      <c r="D9" s="19">
        <f>STDEV(D2:D7)</f>
        <v>1200478.0773380245</v>
      </c>
      <c r="E9" s="19">
        <f t="shared" ref="E9:F9" si="2">STDEV(E2:E7)</f>
        <v>929137.00023430341</v>
      </c>
      <c r="F9" s="13">
        <f t="shared" si="2"/>
        <v>8.2787095449685932E-3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027D-97EE-8C45-84CC-12021653609C}">
  <dimension ref="A1:Q9"/>
  <sheetViews>
    <sheetView tabSelected="1" workbookViewId="0">
      <selection activeCell="H6" sqref="H6"/>
    </sheetView>
  </sheetViews>
  <sheetFormatPr baseColWidth="10" defaultRowHeight="16" x14ac:dyDescent="0.2"/>
  <cols>
    <col min="1" max="1" width="31.33203125" customWidth="1"/>
    <col min="2" max="2" width="9.33203125" customWidth="1"/>
    <col min="3" max="3" width="10.83203125" customWidth="1"/>
    <col min="4" max="4" width="11.33203125" customWidth="1"/>
    <col min="5" max="5" width="11.5" customWidth="1"/>
    <col min="6" max="7" width="17.33203125" customWidth="1"/>
    <col min="9" max="11" width="20.33203125" customWidth="1"/>
    <col min="16" max="16" width="19.33203125" customWidth="1"/>
  </cols>
  <sheetData>
    <row r="1" spans="1:17" s="28" customFormat="1" x14ac:dyDescent="0.2">
      <c r="A1" s="26" t="s">
        <v>0</v>
      </c>
      <c r="B1" s="26" t="s">
        <v>1</v>
      </c>
      <c r="C1" s="26" t="s">
        <v>19</v>
      </c>
      <c r="D1" s="26" t="s">
        <v>5</v>
      </c>
      <c r="E1" s="26" t="s">
        <v>23</v>
      </c>
      <c r="F1" s="26" t="s">
        <v>9</v>
      </c>
      <c r="G1" s="26" t="s">
        <v>24</v>
      </c>
      <c r="H1" s="26" t="s">
        <v>25</v>
      </c>
      <c r="I1" s="26" t="s">
        <v>6</v>
      </c>
      <c r="J1" s="26" t="s">
        <v>7</v>
      </c>
      <c r="K1" s="26" t="s">
        <v>8</v>
      </c>
      <c r="L1" s="27" t="s">
        <v>26</v>
      </c>
      <c r="M1" s="27" t="s">
        <v>27</v>
      </c>
      <c r="N1" s="27" t="s">
        <v>28</v>
      </c>
      <c r="O1" s="27" t="s">
        <v>22</v>
      </c>
      <c r="P1" s="26" t="s">
        <v>29</v>
      </c>
      <c r="Q1" s="26" t="s">
        <v>44</v>
      </c>
    </row>
    <row r="2" spans="1:17" x14ac:dyDescent="0.2">
      <c r="A2" s="14" t="s">
        <v>13</v>
      </c>
      <c r="B2" s="2">
        <v>1</v>
      </c>
      <c r="C2" s="1" t="s">
        <v>20</v>
      </c>
      <c r="D2" s="4">
        <v>2078810</v>
      </c>
      <c r="E2" s="4">
        <v>421594</v>
      </c>
      <c r="F2" s="4">
        <v>1221774</v>
      </c>
      <c r="G2" s="4">
        <f t="shared" ref="G2:G7" si="0">D2-F2-E2</f>
        <v>435442</v>
      </c>
      <c r="H2" s="3">
        <f>F2/(F2+G2)</f>
        <v>0.73724487332972888</v>
      </c>
      <c r="I2" s="4">
        <v>401929</v>
      </c>
      <c r="J2" s="4">
        <v>401174</v>
      </c>
      <c r="K2" s="4">
        <v>401553</v>
      </c>
      <c r="L2" s="3">
        <f t="shared" ref="L2:N7" si="1">I2/($I2+$J2+$K2)</f>
        <v>0.33364628574464411</v>
      </c>
      <c r="M2" s="3">
        <f t="shared" si="1"/>
        <v>0.33301955080952572</v>
      </c>
      <c r="N2" s="3">
        <f t="shared" si="1"/>
        <v>0.33333416344583017</v>
      </c>
      <c r="O2" s="21">
        <v>34.76</v>
      </c>
      <c r="P2" s="29">
        <f>O2/D2*1000000</f>
        <v>16.721104862878281</v>
      </c>
      <c r="Q2" s="29">
        <f>P2/60</f>
        <v>0.27868508104797135</v>
      </c>
    </row>
    <row r="3" spans="1:17" x14ac:dyDescent="0.2">
      <c r="A3" s="5" t="s">
        <v>14</v>
      </c>
      <c r="B3" s="2">
        <v>2</v>
      </c>
      <c r="C3" s="1" t="s">
        <v>20</v>
      </c>
      <c r="D3" s="4">
        <v>1241292</v>
      </c>
      <c r="E3" s="4">
        <v>222471</v>
      </c>
      <c r="F3" s="4">
        <v>748697</v>
      </c>
      <c r="G3" s="4">
        <f t="shared" si="0"/>
        <v>270124</v>
      </c>
      <c r="H3" s="3">
        <f t="shared" ref="H3:H7" si="2">F3/(F3+G3)</f>
        <v>0.73486608540656306</v>
      </c>
      <c r="I3" s="4">
        <v>245739</v>
      </c>
      <c r="J3" s="4">
        <v>246833</v>
      </c>
      <c r="K3" s="4">
        <v>247368</v>
      </c>
      <c r="L3" s="3">
        <f t="shared" si="1"/>
        <v>0.33210665729653754</v>
      </c>
      <c r="M3" s="3">
        <f t="shared" si="1"/>
        <v>0.33358515555315293</v>
      </c>
      <c r="N3" s="3">
        <f t="shared" si="1"/>
        <v>0.33430818715030947</v>
      </c>
      <c r="O3" s="21">
        <v>27.609000000000002</v>
      </c>
      <c r="P3" s="29">
        <f t="shared" ref="P3:P7" si="3">O3/D3*1000000</f>
        <v>22.242147697721407</v>
      </c>
      <c r="Q3" s="29">
        <f>P3/60</f>
        <v>0.37070246162869014</v>
      </c>
    </row>
    <row r="4" spans="1:17" x14ac:dyDescent="0.2">
      <c r="A4" s="5" t="s">
        <v>15</v>
      </c>
      <c r="B4" s="2">
        <v>3</v>
      </c>
      <c r="C4" s="1" t="s">
        <v>20</v>
      </c>
      <c r="D4" s="4">
        <v>2874064</v>
      </c>
      <c r="E4" s="4">
        <v>558418</v>
      </c>
      <c r="F4" s="4">
        <v>1638982</v>
      </c>
      <c r="G4" s="4">
        <f t="shared" si="0"/>
        <v>676664</v>
      </c>
      <c r="H4" s="3">
        <f t="shared" si="2"/>
        <v>0.70778607783745873</v>
      </c>
      <c r="I4" s="4">
        <v>546050</v>
      </c>
      <c r="J4" s="4">
        <v>535222</v>
      </c>
      <c r="K4" s="4">
        <v>537347</v>
      </c>
      <c r="L4" s="3">
        <f t="shared" si="1"/>
        <v>0.33735548637449581</v>
      </c>
      <c r="M4" s="3">
        <f t="shared" si="1"/>
        <v>0.33066583303421004</v>
      </c>
      <c r="N4" s="3">
        <f t="shared" si="1"/>
        <v>0.33197868059129421</v>
      </c>
      <c r="O4" s="21">
        <v>41.414000000000001</v>
      </c>
      <c r="P4" s="29">
        <f t="shared" si="3"/>
        <v>14.409560817017297</v>
      </c>
      <c r="Q4" s="29">
        <f t="shared" ref="Q4:Q6" si="4">P4/60</f>
        <v>0.24015934695028829</v>
      </c>
    </row>
    <row r="5" spans="1:17" x14ac:dyDescent="0.2">
      <c r="A5" s="5" t="s">
        <v>16</v>
      </c>
      <c r="B5" s="2">
        <v>1</v>
      </c>
      <c r="C5" s="1" t="s">
        <v>21</v>
      </c>
      <c r="D5" s="4">
        <v>1393116</v>
      </c>
      <c r="E5" s="4">
        <v>300316</v>
      </c>
      <c r="F5" s="4">
        <v>828189</v>
      </c>
      <c r="G5" s="4">
        <f t="shared" si="0"/>
        <v>264611</v>
      </c>
      <c r="H5" s="3">
        <f>F5/(F5+G5)</f>
        <v>0.7578596266471449</v>
      </c>
      <c r="I5" s="4">
        <v>271713</v>
      </c>
      <c r="J5" s="4">
        <v>272581</v>
      </c>
      <c r="K5" s="4">
        <v>272730</v>
      </c>
      <c r="L5" s="3">
        <f t="shared" si="1"/>
        <v>0.33256428207739308</v>
      </c>
      <c r="M5" s="3">
        <f t="shared" si="1"/>
        <v>0.33362667436941879</v>
      </c>
      <c r="N5" s="3">
        <f t="shared" si="1"/>
        <v>0.33380904355318813</v>
      </c>
      <c r="O5" s="21">
        <v>31.548999999999999</v>
      </c>
      <c r="P5" s="29">
        <f>O5/D5*1000000</f>
        <v>22.646355364520971</v>
      </c>
      <c r="Q5" s="29">
        <f t="shared" si="4"/>
        <v>0.37743925607534951</v>
      </c>
    </row>
    <row r="6" spans="1:17" x14ac:dyDescent="0.2">
      <c r="A6" s="5" t="s">
        <v>17</v>
      </c>
      <c r="B6" s="2">
        <v>2</v>
      </c>
      <c r="C6" s="1" t="s">
        <v>21</v>
      </c>
      <c r="D6" s="4">
        <v>3385387</v>
      </c>
      <c r="E6" s="4">
        <v>585399</v>
      </c>
      <c r="F6" s="4">
        <v>2087743</v>
      </c>
      <c r="G6" s="4">
        <f t="shared" si="0"/>
        <v>712245</v>
      </c>
      <c r="H6" s="3">
        <f t="shared" si="2"/>
        <v>0.74562569553869518</v>
      </c>
      <c r="I6" s="4">
        <v>684353</v>
      </c>
      <c r="J6" s="4">
        <v>697846</v>
      </c>
      <c r="K6" s="4">
        <v>681986</v>
      </c>
      <c r="L6" s="3">
        <f t="shared" si="1"/>
        <v>0.33153665974706725</v>
      </c>
      <c r="M6" s="3">
        <f t="shared" si="1"/>
        <v>0.33807338005072218</v>
      </c>
      <c r="N6" s="3">
        <f t="shared" si="1"/>
        <v>0.33038996020221056</v>
      </c>
      <c r="O6" s="21">
        <v>43.750999999999998</v>
      </c>
      <c r="P6" s="29">
        <f t="shared" si="3"/>
        <v>12.923485557190359</v>
      </c>
      <c r="Q6" s="29">
        <f t="shared" si="4"/>
        <v>0.21539142595317265</v>
      </c>
    </row>
    <row r="7" spans="1:17" x14ac:dyDescent="0.2">
      <c r="A7" s="9" t="s">
        <v>18</v>
      </c>
      <c r="B7" s="10">
        <v>3</v>
      </c>
      <c r="C7" s="11" t="s">
        <v>21</v>
      </c>
      <c r="D7" s="12">
        <v>3217619</v>
      </c>
      <c r="E7" s="7">
        <v>505678</v>
      </c>
      <c r="F7" s="12">
        <v>1955063</v>
      </c>
      <c r="G7" s="4">
        <f t="shared" si="0"/>
        <v>756878</v>
      </c>
      <c r="H7" s="3">
        <f t="shared" si="2"/>
        <v>0.72090912007303998</v>
      </c>
      <c r="I7" s="12">
        <v>635469</v>
      </c>
      <c r="J7" s="12">
        <v>648377</v>
      </c>
      <c r="K7" s="12">
        <v>648970</v>
      </c>
      <c r="L7" s="3">
        <f t="shared" si="1"/>
        <v>0.32877883875133485</v>
      </c>
      <c r="M7" s="3">
        <f t="shared" si="1"/>
        <v>0.3354571775068087</v>
      </c>
      <c r="N7" s="3">
        <f t="shared" si="1"/>
        <v>0.33576398374185645</v>
      </c>
      <c r="O7" s="22">
        <v>43.506999999999998</v>
      </c>
      <c r="P7" s="29">
        <f t="shared" si="3"/>
        <v>13.521489026513082</v>
      </c>
      <c r="Q7" s="29">
        <f>P7/60</f>
        <v>0.2253581504418847</v>
      </c>
    </row>
    <row r="8" spans="1:17" x14ac:dyDescent="0.2">
      <c r="A8" s="14"/>
      <c r="B8" s="14"/>
      <c r="C8" s="14" t="s">
        <v>11</v>
      </c>
      <c r="D8" s="18"/>
      <c r="E8" s="18"/>
      <c r="F8" s="18"/>
      <c r="G8" s="18"/>
      <c r="H8" s="17">
        <f t="shared" ref="H8:N8" si="5">AVERAGE(H2:H7)</f>
        <v>0.73404857980543836</v>
      </c>
      <c r="I8" s="18">
        <f t="shared" si="5"/>
        <v>464208.83333333331</v>
      </c>
      <c r="J8" s="18">
        <f t="shared" si="5"/>
        <v>467005.5</v>
      </c>
      <c r="K8" s="18">
        <f t="shared" si="5"/>
        <v>464992.33333333331</v>
      </c>
      <c r="L8" s="17">
        <f t="shared" si="5"/>
        <v>0.33266470166524548</v>
      </c>
      <c r="M8" s="17">
        <f t="shared" si="5"/>
        <v>0.33407129522063972</v>
      </c>
      <c r="N8" s="17">
        <f t="shared" si="5"/>
        <v>0.3332640031141148</v>
      </c>
      <c r="O8" s="23">
        <f t="shared" ref="O8:P8" si="6">AVERAGE(O2:O7)</f>
        <v>37.098333333333336</v>
      </c>
      <c r="P8" s="23">
        <f t="shared" si="6"/>
        <v>17.077357220973564</v>
      </c>
      <c r="Q8" s="23">
        <f t="shared" ref="Q8" si="7">AVERAGE(Q2:Q7)</f>
        <v>0.28462262034955943</v>
      </c>
    </row>
    <row r="9" spans="1:17" x14ac:dyDescent="0.2">
      <c r="A9" s="9"/>
      <c r="B9" s="9"/>
      <c r="C9" s="9" t="s">
        <v>12</v>
      </c>
      <c r="D9" s="19"/>
      <c r="E9" s="19"/>
      <c r="F9" s="19"/>
      <c r="G9" s="19"/>
      <c r="H9" s="13">
        <f t="shared" ref="H9:N9" si="8">STDEV(H2:H7)</f>
        <v>1.7743982528045446E-2</v>
      </c>
      <c r="I9" s="19">
        <f t="shared" si="8"/>
        <v>186093.50710480646</v>
      </c>
      <c r="J9" s="19">
        <f t="shared" si="8"/>
        <v>190497.79561637976</v>
      </c>
      <c r="K9" s="19">
        <f t="shared" si="8"/>
        <v>186825.55247360209</v>
      </c>
      <c r="L9" s="13">
        <f t="shared" si="8"/>
        <v>2.8164117333731539E-3</v>
      </c>
      <c r="M9" s="13">
        <f t="shared" si="8"/>
        <v>2.4929785873709243E-3</v>
      </c>
      <c r="N9" s="13">
        <f t="shared" si="8"/>
        <v>1.8737337932607115E-3</v>
      </c>
      <c r="O9" s="24">
        <f t="shared" ref="O9:P9" si="9">STDEV(O2:O7)</f>
        <v>6.7862259221651682</v>
      </c>
      <c r="P9" s="24">
        <f t="shared" si="9"/>
        <v>4.355036229532586</v>
      </c>
      <c r="Q9" s="24">
        <f t="shared" ref="Q9" si="10">STDEV(Q2:Q7)</f>
        <v>7.2583937158876427E-2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EFD4-A36D-7843-8AFA-92A18F957172}">
  <dimension ref="A1:S21"/>
  <sheetViews>
    <sheetView workbookViewId="0">
      <selection activeCell="E18" sqref="E18"/>
    </sheetView>
  </sheetViews>
  <sheetFormatPr baseColWidth="10" defaultRowHeight="16" x14ac:dyDescent="0.2"/>
  <cols>
    <col min="1" max="1" width="18.83203125" customWidth="1"/>
    <col min="3" max="3" width="14.1640625" customWidth="1"/>
    <col min="4" max="4" width="12.6640625" customWidth="1"/>
    <col min="5" max="12" width="16.1640625" customWidth="1"/>
    <col min="13" max="15" width="11.6640625" customWidth="1"/>
  </cols>
  <sheetData>
    <row r="1" spans="1:19" x14ac:dyDescent="0.2">
      <c r="A1" s="26" t="s">
        <v>0</v>
      </c>
      <c r="B1" s="26" t="s">
        <v>1</v>
      </c>
      <c r="C1" s="26" t="s">
        <v>19</v>
      </c>
      <c r="D1" s="26" t="s">
        <v>5</v>
      </c>
      <c r="E1" s="30" t="s">
        <v>6</v>
      </c>
      <c r="F1" s="26" t="s">
        <v>30</v>
      </c>
      <c r="G1" s="31" t="s">
        <v>31</v>
      </c>
      <c r="H1" s="26" t="s">
        <v>7</v>
      </c>
      <c r="I1" s="26" t="s">
        <v>32</v>
      </c>
      <c r="J1" s="26" t="s">
        <v>33</v>
      </c>
      <c r="K1" s="30" t="s">
        <v>8</v>
      </c>
      <c r="L1" s="26" t="s">
        <v>34</v>
      </c>
      <c r="M1" s="31" t="s">
        <v>35</v>
      </c>
      <c r="N1" s="26" t="s">
        <v>36</v>
      </c>
      <c r="O1" s="26" t="s">
        <v>37</v>
      </c>
      <c r="P1" s="26" t="s">
        <v>38</v>
      </c>
      <c r="Q1" s="26" t="s">
        <v>26</v>
      </c>
      <c r="R1" s="26" t="s">
        <v>27</v>
      </c>
      <c r="S1" s="26" t="s">
        <v>28</v>
      </c>
    </row>
    <row r="2" spans="1:19" x14ac:dyDescent="0.2">
      <c r="A2" s="14" t="s">
        <v>13</v>
      </c>
      <c r="B2" s="2">
        <v>1</v>
      </c>
      <c r="C2" s="1" t="s">
        <v>20</v>
      </c>
      <c r="D2" s="4">
        <v>2078810</v>
      </c>
      <c r="E2" s="32"/>
      <c r="F2" s="7"/>
      <c r="G2" s="33"/>
      <c r="H2" s="4"/>
      <c r="I2" s="4"/>
      <c r="J2" s="4"/>
      <c r="K2" s="32"/>
      <c r="L2" s="7"/>
      <c r="M2" s="33"/>
      <c r="N2" s="4"/>
      <c r="O2" s="4"/>
      <c r="P2" s="4"/>
      <c r="Q2" s="3" t="e">
        <f>N2/(N2+O2+P2)</f>
        <v>#DIV/0!</v>
      </c>
      <c r="R2" s="3" t="e">
        <f>O2/(N2+O2+P2)</f>
        <v>#DIV/0!</v>
      </c>
      <c r="S2" s="3" t="e">
        <f>P2/(N2+O2+P2)</f>
        <v>#DIV/0!</v>
      </c>
    </row>
    <row r="3" spans="1:19" x14ac:dyDescent="0.2">
      <c r="A3" s="5" t="s">
        <v>14</v>
      </c>
      <c r="B3" s="2">
        <v>2</v>
      </c>
      <c r="C3" s="1" t="s">
        <v>20</v>
      </c>
      <c r="D3" s="4">
        <v>1241292</v>
      </c>
      <c r="E3" s="32"/>
      <c r="F3" s="7"/>
      <c r="G3" s="33"/>
      <c r="H3" s="4"/>
      <c r="I3" s="4"/>
      <c r="J3" s="4"/>
      <c r="K3" s="32"/>
      <c r="L3" s="7"/>
      <c r="M3" s="33"/>
      <c r="N3" s="4"/>
      <c r="O3" s="4"/>
      <c r="P3" s="4"/>
      <c r="Q3" s="3" t="e">
        <f t="shared" ref="Q3:Q7" si="0">N3/(N3+O3+P3)</f>
        <v>#DIV/0!</v>
      </c>
      <c r="R3" s="3" t="e">
        <f t="shared" ref="R3:R7" si="1">O3/(N3+O3+P3)</f>
        <v>#DIV/0!</v>
      </c>
      <c r="S3" s="3" t="e">
        <f t="shared" ref="S3:S7" si="2">P3/(N3+O3+P3)</f>
        <v>#DIV/0!</v>
      </c>
    </row>
    <row r="4" spans="1:19" x14ac:dyDescent="0.2">
      <c r="A4" s="5" t="s">
        <v>15</v>
      </c>
      <c r="B4" s="2">
        <v>3</v>
      </c>
      <c r="C4" s="1" t="s">
        <v>20</v>
      </c>
      <c r="D4" s="4">
        <v>2874064</v>
      </c>
      <c r="E4" s="32"/>
      <c r="F4" s="7"/>
      <c r="G4" s="33"/>
      <c r="H4" s="4"/>
      <c r="I4" s="4"/>
      <c r="J4" s="4"/>
      <c r="K4" s="32"/>
      <c r="L4" s="7"/>
      <c r="M4" s="33"/>
      <c r="N4" s="4"/>
      <c r="O4" s="4"/>
      <c r="P4" s="4"/>
      <c r="Q4" s="3" t="e">
        <f t="shared" si="0"/>
        <v>#DIV/0!</v>
      </c>
      <c r="R4" s="3" t="e">
        <f t="shared" si="1"/>
        <v>#DIV/0!</v>
      </c>
      <c r="S4" s="3" t="e">
        <f t="shared" si="2"/>
        <v>#DIV/0!</v>
      </c>
    </row>
    <row r="5" spans="1:19" x14ac:dyDescent="0.2">
      <c r="A5" s="5" t="s">
        <v>16</v>
      </c>
      <c r="B5" s="2">
        <v>1</v>
      </c>
      <c r="C5" s="1" t="s">
        <v>21</v>
      </c>
      <c r="D5" s="4">
        <v>1393116</v>
      </c>
      <c r="E5" s="32"/>
      <c r="F5" s="7"/>
      <c r="G5" s="33"/>
      <c r="H5" s="4"/>
      <c r="I5" s="4"/>
      <c r="J5" s="4"/>
      <c r="K5" s="32"/>
      <c r="L5" s="7"/>
      <c r="M5" s="33"/>
      <c r="N5" s="4"/>
      <c r="O5" s="4"/>
      <c r="P5" s="4"/>
      <c r="Q5" s="3" t="e">
        <f t="shared" si="0"/>
        <v>#DIV/0!</v>
      </c>
      <c r="R5" s="3" t="e">
        <f t="shared" si="1"/>
        <v>#DIV/0!</v>
      </c>
      <c r="S5" s="3" t="e">
        <f t="shared" si="2"/>
        <v>#DIV/0!</v>
      </c>
    </row>
    <row r="6" spans="1:19" x14ac:dyDescent="0.2">
      <c r="A6" s="5" t="s">
        <v>17</v>
      </c>
      <c r="B6" s="2">
        <v>2</v>
      </c>
      <c r="C6" s="1" t="s">
        <v>21</v>
      </c>
      <c r="D6" s="4">
        <v>3385387</v>
      </c>
      <c r="E6" s="32"/>
      <c r="F6" s="7"/>
      <c r="G6" s="33"/>
      <c r="H6" s="4"/>
      <c r="I6" s="4"/>
      <c r="J6" s="4"/>
      <c r="K6" s="32"/>
      <c r="L6" s="7"/>
      <c r="M6" s="33"/>
      <c r="N6" s="4"/>
      <c r="O6" s="4"/>
      <c r="P6" s="4"/>
      <c r="Q6" s="3" t="e">
        <f t="shared" si="0"/>
        <v>#DIV/0!</v>
      </c>
      <c r="R6" s="3" t="e">
        <f t="shared" si="1"/>
        <v>#DIV/0!</v>
      </c>
      <c r="S6" s="3" t="e">
        <f t="shared" si="2"/>
        <v>#DIV/0!</v>
      </c>
    </row>
    <row r="7" spans="1:19" x14ac:dyDescent="0.2">
      <c r="A7" s="9" t="s">
        <v>18</v>
      </c>
      <c r="B7" s="10">
        <v>3</v>
      </c>
      <c r="C7" s="11" t="s">
        <v>21</v>
      </c>
      <c r="D7" s="12">
        <v>3217619</v>
      </c>
      <c r="E7" s="34"/>
      <c r="F7" s="12"/>
      <c r="G7" s="35"/>
      <c r="H7" s="12"/>
      <c r="I7" s="12"/>
      <c r="J7" s="12"/>
      <c r="K7" s="34"/>
      <c r="L7" s="12"/>
      <c r="M7" s="35"/>
      <c r="N7" s="4"/>
      <c r="O7" s="4"/>
      <c r="P7" s="4"/>
      <c r="Q7" s="3" t="e">
        <f t="shared" si="0"/>
        <v>#DIV/0!</v>
      </c>
      <c r="R7" s="3" t="e">
        <f t="shared" si="1"/>
        <v>#DIV/0!</v>
      </c>
      <c r="S7" s="3" t="e">
        <f t="shared" si="2"/>
        <v>#DIV/0!</v>
      </c>
    </row>
    <row r="8" spans="1:19" x14ac:dyDescent="0.2">
      <c r="A8" s="14"/>
      <c r="B8" s="14"/>
      <c r="C8" s="14" t="s">
        <v>11</v>
      </c>
      <c r="D8" s="18"/>
      <c r="E8" s="36"/>
      <c r="G8" s="37"/>
      <c r="K8" s="36"/>
      <c r="M8" s="37"/>
      <c r="N8" s="14"/>
      <c r="O8" s="14"/>
      <c r="P8" s="14"/>
      <c r="Q8" s="38" t="e">
        <f>AVERAGE(Q2:Q7)</f>
        <v>#DIV/0!</v>
      </c>
      <c r="R8" s="38" t="e">
        <f t="shared" ref="R8:S8" si="3">AVERAGE(R2:R7)</f>
        <v>#DIV/0!</v>
      </c>
      <c r="S8" s="38" t="e">
        <f t="shared" si="3"/>
        <v>#DIV/0!</v>
      </c>
    </row>
    <row r="9" spans="1:19" x14ac:dyDescent="0.2">
      <c r="A9" s="9"/>
      <c r="B9" s="9"/>
      <c r="C9" s="9" t="s">
        <v>12</v>
      </c>
      <c r="D9" s="19"/>
      <c r="E9" s="39"/>
      <c r="F9" s="9"/>
      <c r="G9" s="40"/>
      <c r="H9" s="9"/>
      <c r="I9" s="9"/>
      <c r="J9" s="9"/>
      <c r="K9" s="39"/>
      <c r="L9" s="9"/>
      <c r="M9" s="40"/>
      <c r="N9" s="9"/>
      <c r="O9" s="9"/>
      <c r="P9" s="9"/>
      <c r="Q9" s="13" t="e">
        <f>STDEV(Q2:Q7)</f>
        <v>#DIV/0!</v>
      </c>
      <c r="R9" s="13" t="e">
        <f t="shared" ref="R9:S9" si="4">STDEV(R2:R7)</f>
        <v>#DIV/0!</v>
      </c>
      <c r="S9" s="13" t="e">
        <f t="shared" si="4"/>
        <v>#DIV/0!</v>
      </c>
    </row>
    <row r="12" spans="1:19" x14ac:dyDescent="0.2">
      <c r="A12" s="41" t="s">
        <v>39</v>
      </c>
    </row>
    <row r="13" spans="1:19" x14ac:dyDescent="0.2">
      <c r="A13" s="26" t="s">
        <v>0</v>
      </c>
      <c r="B13" s="26" t="s">
        <v>1</v>
      </c>
      <c r="C13" s="26" t="s">
        <v>19</v>
      </c>
      <c r="D13" s="26" t="s">
        <v>5</v>
      </c>
      <c r="E13" s="26" t="s">
        <v>40</v>
      </c>
      <c r="F13" s="26" t="s">
        <v>41</v>
      </c>
      <c r="G13" s="26" t="s">
        <v>42</v>
      </c>
      <c r="H13" s="26" t="s">
        <v>43</v>
      </c>
      <c r="I13" s="26" t="s">
        <v>44</v>
      </c>
      <c r="J13" s="28"/>
      <c r="K13" s="28"/>
      <c r="L13" s="28"/>
      <c r="M13" s="28"/>
    </row>
    <row r="14" spans="1:19" x14ac:dyDescent="0.2">
      <c r="A14" s="14" t="s">
        <v>13</v>
      </c>
      <c r="B14" s="2">
        <v>1</v>
      </c>
      <c r="C14" s="1" t="s">
        <v>20</v>
      </c>
      <c r="D14" s="4">
        <v>2078810</v>
      </c>
      <c r="E14" s="42"/>
      <c r="F14" s="42"/>
      <c r="G14" s="42"/>
      <c r="H14" s="42"/>
      <c r="I14" s="29">
        <f>(H14/60)/D14*1000000</f>
        <v>0</v>
      </c>
      <c r="J14" s="29"/>
    </row>
    <row r="15" spans="1:19" x14ac:dyDescent="0.2">
      <c r="A15" s="5" t="s">
        <v>14</v>
      </c>
      <c r="B15" s="2">
        <v>2</v>
      </c>
      <c r="C15" s="1" t="s">
        <v>20</v>
      </c>
      <c r="D15" s="4">
        <v>1241292</v>
      </c>
      <c r="E15" s="42"/>
      <c r="F15" s="42"/>
      <c r="G15" s="42"/>
      <c r="H15" s="42"/>
      <c r="I15" s="29">
        <f t="shared" ref="I15:I19" si="5">(H15/60)/D15*1000000</f>
        <v>0</v>
      </c>
      <c r="J15" s="29"/>
    </row>
    <row r="16" spans="1:19" x14ac:dyDescent="0.2">
      <c r="A16" s="5" t="s">
        <v>15</v>
      </c>
      <c r="B16" s="2">
        <v>3</v>
      </c>
      <c r="C16" s="1" t="s">
        <v>20</v>
      </c>
      <c r="D16" s="4">
        <v>2874064</v>
      </c>
      <c r="E16" s="42"/>
      <c r="F16" s="42"/>
      <c r="G16" s="42"/>
      <c r="H16" s="42"/>
      <c r="I16" s="29">
        <f t="shared" si="5"/>
        <v>0</v>
      </c>
      <c r="J16" s="29"/>
    </row>
    <row r="17" spans="1:10" x14ac:dyDescent="0.2">
      <c r="A17" s="5" t="s">
        <v>16</v>
      </c>
      <c r="B17" s="2">
        <v>1</v>
      </c>
      <c r="C17" s="1" t="s">
        <v>21</v>
      </c>
      <c r="D17" s="4">
        <v>1393116</v>
      </c>
      <c r="E17" s="42"/>
      <c r="F17" s="42"/>
      <c r="G17" s="42"/>
      <c r="H17" s="42"/>
      <c r="I17" s="29">
        <f t="shared" si="5"/>
        <v>0</v>
      </c>
      <c r="J17" s="29"/>
    </row>
    <row r="18" spans="1:10" x14ac:dyDescent="0.2">
      <c r="A18" s="5" t="s">
        <v>17</v>
      </c>
      <c r="B18" s="2">
        <v>2</v>
      </c>
      <c r="C18" s="1" t="s">
        <v>21</v>
      </c>
      <c r="D18" s="4">
        <v>3385387</v>
      </c>
      <c r="E18" s="42"/>
      <c r="F18" s="42"/>
      <c r="G18" s="42"/>
      <c r="H18" s="42"/>
      <c r="I18" s="29">
        <f t="shared" si="5"/>
        <v>0</v>
      </c>
      <c r="J18" s="29"/>
    </row>
    <row r="19" spans="1:10" x14ac:dyDescent="0.2">
      <c r="A19" s="9" t="s">
        <v>18</v>
      </c>
      <c r="B19" s="10">
        <v>3</v>
      </c>
      <c r="C19" s="11" t="s">
        <v>21</v>
      </c>
      <c r="D19" s="12">
        <v>3217619</v>
      </c>
      <c r="E19" s="43"/>
      <c r="F19" s="43"/>
      <c r="G19" s="43"/>
      <c r="H19" s="43"/>
      <c r="I19" s="44">
        <f t="shared" si="5"/>
        <v>0</v>
      </c>
      <c r="J19" s="29"/>
    </row>
    <row r="20" spans="1:10" x14ac:dyDescent="0.2">
      <c r="A20" s="14"/>
      <c r="B20" s="14"/>
      <c r="C20" s="14" t="s">
        <v>11</v>
      </c>
      <c r="D20" s="18"/>
      <c r="I20" s="29">
        <f>AVERAGE(I14:I19)</f>
        <v>0</v>
      </c>
      <c r="J20" s="29"/>
    </row>
    <row r="21" spans="1:10" x14ac:dyDescent="0.2">
      <c r="A21" s="9"/>
      <c r="B21" s="9"/>
      <c r="C21" s="9" t="s">
        <v>12</v>
      </c>
      <c r="D21" s="19"/>
      <c r="E21" s="9"/>
      <c r="F21" s="9"/>
      <c r="G21" s="9"/>
      <c r="H21" s="9"/>
      <c r="I21" s="44">
        <f>STDEV(I14:I19)</f>
        <v>0</v>
      </c>
      <c r="J21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Trimmomatic</vt:lpstr>
      <vt:lpstr>HISAT</vt:lpstr>
      <vt:lpstr>EAGLE-RC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jsun</dc:creator>
  <cp:lastModifiedBy>jsun</cp:lastModifiedBy>
  <dcterms:created xsi:type="dcterms:W3CDTF">2020-05-16T00:01:00Z</dcterms:created>
  <dcterms:modified xsi:type="dcterms:W3CDTF">2020-06-04T09:15:04Z</dcterms:modified>
</cp:coreProperties>
</file>