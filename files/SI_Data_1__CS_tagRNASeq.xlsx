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projects/HuoberBrezel/files/"/>
    </mc:Choice>
  </mc:AlternateContent>
  <xr:revisionPtr revIDLastSave="0" documentId="13_ncr:1_{179C7162-AD75-8D49-9F09-6E1220E24084}" xr6:coauthVersionLast="46" xr6:coauthVersionMax="46" xr10:uidLastSave="{00000000-0000-0000-0000-000000000000}"/>
  <bookViews>
    <workbookView xWindow="0" yWindow="500" windowWidth="24760" windowHeight="15440" activeTab="4" xr2:uid="{0A1B866E-BAB2-5B48-9BA1-056163FF4A88}"/>
  </bookViews>
  <sheets>
    <sheet name="Trimmomatic" sheetId="2" r:id="rId1"/>
    <sheet name="HISAT2" sheetId="1" r:id="rId2"/>
    <sheet name="STAR" sheetId="4" r:id="rId3"/>
    <sheet name="EAGLE-RC" sheetId="3" r:id="rId4"/>
    <sheet name="Overla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5" i="5" l="1"/>
  <c r="C25" i="5"/>
  <c r="D25" i="5"/>
  <c r="B26" i="5"/>
  <c r="C26" i="5"/>
  <c r="D26" i="5"/>
  <c r="B27" i="5"/>
  <c r="C27" i="5"/>
  <c r="C30" i="5" s="1"/>
  <c r="D27" i="5"/>
  <c r="B28" i="5"/>
  <c r="C28" i="5"/>
  <c r="D28" i="5"/>
  <c r="B29" i="5"/>
  <c r="C29" i="5"/>
  <c r="D29" i="5"/>
  <c r="D24" i="5"/>
  <c r="D31" i="5" s="1"/>
  <c r="C24" i="5"/>
  <c r="B24" i="5"/>
  <c r="B31" i="5" s="1"/>
  <c r="C19" i="5"/>
  <c r="D19" i="5"/>
  <c r="C20" i="5"/>
  <c r="D20" i="5"/>
  <c r="B20" i="5"/>
  <c r="B19" i="5"/>
  <c r="D14" i="5"/>
  <c r="D15" i="5"/>
  <c r="D16" i="5"/>
  <c r="D17" i="5"/>
  <c r="D18" i="5"/>
  <c r="D13" i="5"/>
  <c r="C14" i="5"/>
  <c r="C15" i="5"/>
  <c r="C16" i="5"/>
  <c r="C17" i="5"/>
  <c r="C18" i="5"/>
  <c r="C13" i="5"/>
  <c r="B14" i="5"/>
  <c r="B15" i="5"/>
  <c r="B16" i="5"/>
  <c r="B17" i="5"/>
  <c r="B18" i="5"/>
  <c r="B13" i="5"/>
  <c r="D30" i="5" l="1"/>
  <c r="B30" i="5"/>
  <c r="C31" i="5"/>
  <c r="M13" i="1" l="1"/>
  <c r="M14" i="1"/>
  <c r="M15" i="1"/>
  <c r="M16" i="1"/>
  <c r="M17" i="1"/>
  <c r="M12" i="1"/>
  <c r="S6" i="3"/>
  <c r="T6" i="3"/>
  <c r="R5" i="3"/>
  <c r="R6" i="3"/>
  <c r="Q3" i="3"/>
  <c r="S3" i="3" s="1"/>
  <c r="Q4" i="3"/>
  <c r="U4" i="3" s="1"/>
  <c r="Q5" i="3"/>
  <c r="S5" i="3" s="1"/>
  <c r="Q6" i="3"/>
  <c r="U6" i="3" s="1"/>
  <c r="Q7" i="3"/>
  <c r="S7" i="3" s="1"/>
  <c r="Q2" i="3"/>
  <c r="T2" i="3" s="1"/>
  <c r="U5" i="3"/>
  <c r="H2" i="4"/>
  <c r="I3" i="1"/>
  <c r="I4" i="1"/>
  <c r="I5" i="1"/>
  <c r="I6" i="1"/>
  <c r="I7" i="1"/>
  <c r="I2" i="1"/>
  <c r="U3" i="3"/>
  <c r="S2" i="3" l="1"/>
  <c r="T4" i="3"/>
  <c r="U7" i="3"/>
  <c r="R2" i="3"/>
  <c r="R4" i="3"/>
  <c r="T7" i="3"/>
  <c r="T5" i="3"/>
  <c r="T3" i="3"/>
  <c r="S4" i="3"/>
  <c r="R7" i="3"/>
  <c r="R3" i="3"/>
  <c r="U2" i="3"/>
  <c r="U8" i="3" s="1"/>
  <c r="S7" i="4"/>
  <c r="S6" i="4"/>
  <c r="S5" i="4"/>
  <c r="S4" i="4"/>
  <c r="S3" i="4"/>
  <c r="S2" i="4"/>
  <c r="I7" i="4"/>
  <c r="I6" i="4"/>
  <c r="I5" i="4"/>
  <c r="I4" i="4"/>
  <c r="I3" i="4"/>
  <c r="I2" i="4"/>
  <c r="S4" i="1"/>
  <c r="S7" i="1"/>
  <c r="S6" i="1"/>
  <c r="S5" i="1"/>
  <c r="S3" i="1"/>
  <c r="S2" i="1"/>
  <c r="U9" i="3" l="1"/>
  <c r="S9" i="1"/>
  <c r="S9" i="4"/>
  <c r="I8" i="4"/>
  <c r="I9" i="4"/>
  <c r="I9" i="1"/>
  <c r="I8" i="1"/>
  <c r="S8" i="4"/>
  <c r="S8" i="1"/>
  <c r="H15" i="3" l="1"/>
  <c r="H16" i="3"/>
  <c r="I16" i="3" s="1"/>
  <c r="H17" i="3"/>
  <c r="H18" i="3"/>
  <c r="H19" i="3"/>
  <c r="H14" i="3"/>
  <c r="J3" i="3"/>
  <c r="J4" i="3"/>
  <c r="J5" i="3"/>
  <c r="J6" i="3"/>
  <c r="J7" i="3"/>
  <c r="M3" i="3"/>
  <c r="M4" i="3"/>
  <c r="M5" i="3"/>
  <c r="M6" i="3"/>
  <c r="M7" i="3"/>
  <c r="M2" i="3"/>
  <c r="J2" i="3"/>
  <c r="G3" i="3"/>
  <c r="G4" i="3"/>
  <c r="G5" i="3"/>
  <c r="G6" i="3"/>
  <c r="G7" i="3"/>
  <c r="G2" i="3"/>
  <c r="E3" i="4"/>
  <c r="E4" i="4"/>
  <c r="E5" i="4"/>
  <c r="E6" i="4"/>
  <c r="E7" i="4"/>
  <c r="E2" i="4"/>
  <c r="G2" i="1"/>
  <c r="H2" i="1" s="1"/>
  <c r="G3" i="1"/>
  <c r="H3" i="1" s="1"/>
  <c r="P9" i="4"/>
  <c r="L9" i="4"/>
  <c r="K9" i="4"/>
  <c r="J9" i="4"/>
  <c r="P8" i="4"/>
  <c r="L8" i="4"/>
  <c r="K8" i="4"/>
  <c r="J8" i="4"/>
  <c r="Q7" i="4"/>
  <c r="R7" i="4" s="1"/>
  <c r="O7" i="4"/>
  <c r="N7" i="4"/>
  <c r="M7" i="4"/>
  <c r="H7" i="4"/>
  <c r="Q6" i="4"/>
  <c r="R6" i="4" s="1"/>
  <c r="O6" i="4"/>
  <c r="N6" i="4"/>
  <c r="M6" i="4"/>
  <c r="H6" i="4"/>
  <c r="Q5" i="4"/>
  <c r="R5" i="4" s="1"/>
  <c r="O5" i="4"/>
  <c r="N5" i="4"/>
  <c r="M5" i="4"/>
  <c r="H5" i="4"/>
  <c r="Q4" i="4"/>
  <c r="R4" i="4" s="1"/>
  <c r="O4" i="4"/>
  <c r="N4" i="4"/>
  <c r="M4" i="4"/>
  <c r="H4" i="4"/>
  <c r="Q3" i="4"/>
  <c r="R3" i="4" s="1"/>
  <c r="O3" i="4"/>
  <c r="N3" i="4"/>
  <c r="M3" i="4"/>
  <c r="H3" i="4"/>
  <c r="Q2" i="4"/>
  <c r="O2" i="4"/>
  <c r="N2" i="4"/>
  <c r="M2" i="4"/>
  <c r="Q9" i="4" l="1"/>
  <c r="N9" i="4"/>
  <c r="M9" i="4"/>
  <c r="O8" i="4"/>
  <c r="H9" i="4"/>
  <c r="M8" i="4"/>
  <c r="Q8" i="4"/>
  <c r="O9" i="4"/>
  <c r="N8" i="4"/>
  <c r="R2" i="4"/>
  <c r="H8" i="4"/>
  <c r="R9" i="4" l="1"/>
  <c r="R8" i="4"/>
  <c r="Q5" i="1" l="1"/>
  <c r="R5" i="1" s="1"/>
  <c r="I19" i="3" l="1"/>
  <c r="I18" i="3"/>
  <c r="I17" i="3"/>
  <c r="I15" i="3"/>
  <c r="I14" i="3"/>
  <c r="T9" i="3" l="1"/>
  <c r="R9" i="3"/>
  <c r="I21" i="3"/>
  <c r="S9" i="3"/>
  <c r="R8" i="3"/>
  <c r="S8" i="3"/>
  <c r="I20" i="3"/>
  <c r="T8" i="3"/>
  <c r="Q3" i="1"/>
  <c r="R3" i="1" s="1"/>
  <c r="Q4" i="1"/>
  <c r="R4" i="1" s="1"/>
  <c r="Q6" i="1"/>
  <c r="R6" i="1" s="1"/>
  <c r="Q7" i="1"/>
  <c r="R7" i="1" s="1"/>
  <c r="Q2" i="1"/>
  <c r="R2" i="1" s="1"/>
  <c r="M2" i="1"/>
  <c r="G4" i="1"/>
  <c r="H4" i="1" s="1"/>
  <c r="G5" i="1"/>
  <c r="H5" i="1" s="1"/>
  <c r="G6" i="1"/>
  <c r="H6" i="1" s="1"/>
  <c r="G7" i="1"/>
  <c r="H7" i="1" s="1"/>
  <c r="E9" i="2"/>
  <c r="D9" i="2"/>
  <c r="E8" i="2"/>
  <c r="D8" i="2"/>
  <c r="F7" i="2"/>
  <c r="F6" i="2"/>
  <c r="F5" i="2"/>
  <c r="F4" i="2"/>
  <c r="F3" i="2"/>
  <c r="F2" i="2"/>
  <c r="Q9" i="1" l="1"/>
  <c r="R8" i="1"/>
  <c r="R9" i="1"/>
  <c r="Q8" i="1"/>
  <c r="F9" i="2"/>
  <c r="F8" i="2"/>
  <c r="P9" i="1" l="1"/>
  <c r="P8" i="1"/>
  <c r="L9" i="1"/>
  <c r="K9" i="1"/>
  <c r="J9" i="1"/>
  <c r="L8" i="1"/>
  <c r="K8" i="1"/>
  <c r="J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9" i="1" l="1"/>
  <c r="O8" i="1"/>
  <c r="N9" i="1"/>
  <c r="M8" i="1"/>
  <c r="O9" i="1"/>
  <c r="N8" i="1"/>
  <c r="H8" i="1" l="1"/>
  <c r="H9" i="1"/>
</calcChain>
</file>

<file path=xl/sharedStrings.xml><?xml version="1.0" encoding="utf-8"?>
<sst xmlns="http://schemas.openxmlformats.org/spreadsheetml/2006/main" count="193" uniqueCount="60">
  <si>
    <t>library name</t>
  </si>
  <si>
    <t>replicate</t>
  </si>
  <si>
    <t>sampling date</t>
  </si>
  <si>
    <t>#reads in FASTQ</t>
  </si>
  <si>
    <t>#reads after QC</t>
  </si>
  <si>
    <t>input</t>
  </si>
  <si>
    <t>uniquely mapped on A</t>
  </si>
  <si>
    <t>uniquely mapped on B</t>
  </si>
  <si>
    <t>uniquely mapped on D</t>
  </si>
  <si>
    <t>uniquely mapped</t>
  </si>
  <si>
    <t>E/D</t>
  </si>
  <si>
    <t>average</t>
  </si>
  <si>
    <t>s.d</t>
  </si>
  <si>
    <t>20181109.A-TaeRS_1_Tae_RS1_1</t>
  </si>
  <si>
    <t>20181109.A-TaeRS_1_Tae_RS1_2</t>
  </si>
  <si>
    <t>20181109.A-TaeRS_1_Tae_RS1_3</t>
  </si>
  <si>
    <t>20181109.A-TaeRS_1_Tae_RS1_16</t>
  </si>
  <si>
    <t>20181109.A-TaeRS_1_Tae_RS1_17</t>
  </si>
  <si>
    <t>20181109.A-TaeRS_1_Tae_RS1_18</t>
  </si>
  <si>
    <t>treatment</t>
  </si>
  <si>
    <t>control</t>
  </si>
  <si>
    <t>cold</t>
  </si>
  <si>
    <t>time</t>
  </si>
  <si>
    <t>unmapped</t>
  </si>
  <si>
    <t>multi-mapped</t>
  </si>
  <si>
    <t>F / (F+G)</t>
  </si>
  <si>
    <t>%A</t>
  </si>
  <si>
    <t>%B</t>
  </si>
  <si>
    <t>%D</t>
  </si>
  <si>
    <t>time [sec/1M reads]</t>
  </si>
  <si>
    <t>multi-loci on A</t>
  </si>
  <si>
    <t>unmapped on A</t>
  </si>
  <si>
    <t>multi-loci on B</t>
  </si>
  <si>
    <t>unmapped on B</t>
  </si>
  <si>
    <t>multi-loci on D</t>
  </si>
  <si>
    <t>unmapped on D</t>
  </si>
  <si>
    <t>Execution time</t>
  </si>
  <si>
    <t>total time</t>
  </si>
  <si>
    <t>time [min/1M reads]</t>
  </si>
  <si>
    <t>single-edn 126 bp</t>
  </si>
  <si>
    <t>%F</t>
  </si>
  <si>
    <t>* percentage of input reads that classified as A, B, D-origin</t>
  </si>
  <si>
    <t>* F: percentage of reads that uniquely mapped on one of A, B, D subgenomes.</t>
  </si>
  <si>
    <t>EAGLE step</t>
  </si>
  <si>
    <t>STAR step</t>
  </si>
  <si>
    <t>EAGLE-RC step</t>
  </si>
  <si>
    <t>N + O + P</t>
  </si>
  <si>
    <t>* I: this may contains reads that were mapped on ChrUn</t>
  </si>
  <si>
    <t>A</t>
  </si>
  <si>
    <t>B</t>
  </si>
  <si>
    <t>D</t>
  </si>
  <si>
    <t>%(A+B+D)</t>
  </si>
  <si>
    <t>A-origin reads</t>
  </si>
  <si>
    <t>HISAT2</t>
  </si>
  <si>
    <t>HISAT2 U EAGLE-RC</t>
  </si>
  <si>
    <t>EAGLE-RC</t>
  </si>
  <si>
    <t>B-origin reads</t>
  </si>
  <si>
    <t>D-origin reads</t>
  </si>
  <si>
    <t>Jaccard index</t>
  </si>
  <si>
    <t>Simpson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</si>
</sst>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  <numFmt numFmtId="165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41" fontId="0" fillId="0" borderId="0" xfId="1" applyFont="1" applyBorder="1"/>
    <xf numFmtId="10" fontId="0" fillId="0" borderId="0" xfId="2" applyNumberFormat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41" fontId="0" fillId="0" borderId="2" xfId="1" applyFont="1" applyBorder="1"/>
    <xf numFmtId="10" fontId="0" fillId="0" borderId="2" xfId="2" applyNumberFormat="1" applyFont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165" fontId="0" fillId="0" borderId="2" xfId="1" applyNumberFormat="1" applyFont="1" applyBorder="1"/>
    <xf numFmtId="165" fontId="0" fillId="0" borderId="1" xfId="1" applyNumberFormat="1" applyFont="1" applyBorder="1"/>
    <xf numFmtId="41" fontId="0" fillId="0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6" xfId="1" applyFont="1" applyBorder="1"/>
    <xf numFmtId="41" fontId="0" fillId="0" borderId="4" xfId="1" applyFont="1" applyBorder="1"/>
    <xf numFmtId="0" fontId="0" fillId="0" borderId="5" xfId="0" applyBorder="1"/>
    <xf numFmtId="0" fontId="0" fillId="0" borderId="6" xfId="0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2" fontId="0" fillId="0" borderId="0" xfId="0" applyNumberFormat="1"/>
    <xf numFmtId="2" fontId="0" fillId="0" borderId="1" xfId="0" applyNumberFormat="1" applyBorder="1"/>
    <xf numFmtId="43" fontId="0" fillId="0" borderId="1" xfId="0" applyNumberFormat="1" applyBorder="1"/>
    <xf numFmtId="10" fontId="0" fillId="0" borderId="0" xfId="0" applyNumberFormat="1"/>
    <xf numFmtId="0" fontId="0" fillId="0" borderId="7" xfId="0" applyBorder="1"/>
    <xf numFmtId="2" fontId="3" fillId="0" borderId="5" xfId="0" applyNumberFormat="1" applyFont="1" applyBorder="1"/>
    <xf numFmtId="2" fontId="3" fillId="0" borderId="3" xfId="0" applyNumberFormat="1" applyFont="1" applyBorder="1"/>
    <xf numFmtId="0" fontId="0" fillId="0" borderId="1" xfId="0" applyBorder="1" applyAlignment="1">
      <alignment horizontal="left" vertical="center"/>
    </xf>
    <xf numFmtId="4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165" fontId="0" fillId="0" borderId="0" xfId="0" applyNumberFormat="1" applyFill="1" applyBorder="1"/>
    <xf numFmtId="165" fontId="0" fillId="0" borderId="1" xfId="0" applyNumberForma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B20B-9F46-3B47-9DD5-5803BE1711DF}">
  <dimension ref="A1:F9"/>
  <sheetViews>
    <sheetView workbookViewId="0">
      <selection activeCell="D14" sqref="D14"/>
    </sheetView>
  </sheetViews>
  <sheetFormatPr baseColWidth="10" defaultRowHeight="16" x14ac:dyDescent="0.2"/>
  <cols>
    <col min="1" max="1" width="37.1640625" customWidth="1"/>
    <col min="2" max="6" width="17.6640625" customWidth="1"/>
  </cols>
  <sheetData>
    <row r="1" spans="1:6" x14ac:dyDescent="0.2">
      <c r="A1" t="s">
        <v>0</v>
      </c>
      <c r="B1" t="s">
        <v>1</v>
      </c>
      <c r="C1" s="9" t="s">
        <v>2</v>
      </c>
      <c r="D1" t="s">
        <v>3</v>
      </c>
      <c r="E1" t="s">
        <v>4</v>
      </c>
      <c r="F1" t="s">
        <v>10</v>
      </c>
    </row>
    <row r="2" spans="1:6" x14ac:dyDescent="0.2">
      <c r="A2" s="14" t="s">
        <v>13</v>
      </c>
      <c r="B2" s="15">
        <v>1</v>
      </c>
      <c r="C2" s="1" t="s">
        <v>20</v>
      </c>
      <c r="D2" s="16">
        <v>2604973</v>
      </c>
      <c r="E2" s="16">
        <v>2052039</v>
      </c>
      <c r="F2" s="17">
        <f>E2/D2</f>
        <v>0.78773906677727557</v>
      </c>
    </row>
    <row r="3" spans="1:6" x14ac:dyDescent="0.2">
      <c r="A3" s="5" t="s">
        <v>14</v>
      </c>
      <c r="B3" s="6">
        <v>2</v>
      </c>
      <c r="C3" s="1" t="s">
        <v>20</v>
      </c>
      <c r="D3" s="7">
        <v>1596414</v>
      </c>
      <c r="E3" s="7">
        <v>1225463</v>
      </c>
      <c r="F3" s="8">
        <f t="shared" ref="F3:F7" si="0">E3/D3</f>
        <v>0.76763483657747933</v>
      </c>
    </row>
    <row r="4" spans="1:6" x14ac:dyDescent="0.2">
      <c r="A4" s="5" t="s">
        <v>15</v>
      </c>
      <c r="B4" s="6">
        <v>3</v>
      </c>
      <c r="C4" s="1" t="s">
        <v>20</v>
      </c>
      <c r="D4" s="7">
        <v>3694206</v>
      </c>
      <c r="E4" s="7">
        <v>2840365</v>
      </c>
      <c r="F4" s="8">
        <f t="shared" si="0"/>
        <v>0.76887022542868477</v>
      </c>
    </row>
    <row r="5" spans="1:6" x14ac:dyDescent="0.2">
      <c r="A5" s="5" t="s">
        <v>16</v>
      </c>
      <c r="B5" s="6">
        <v>1</v>
      </c>
      <c r="C5" s="1" t="s">
        <v>21</v>
      </c>
      <c r="D5" s="7">
        <v>1764702</v>
      </c>
      <c r="E5" s="7">
        <v>1374577</v>
      </c>
      <c r="F5" s="8">
        <f t="shared" si="0"/>
        <v>0.77892868030976337</v>
      </c>
    </row>
    <row r="6" spans="1:6" x14ac:dyDescent="0.2">
      <c r="A6" s="5" t="s">
        <v>17</v>
      </c>
      <c r="B6" s="6">
        <v>2</v>
      </c>
      <c r="C6" s="1" t="s">
        <v>21</v>
      </c>
      <c r="D6" s="7">
        <v>4347049</v>
      </c>
      <c r="E6" s="7">
        <v>3340992</v>
      </c>
      <c r="F6" s="8">
        <f t="shared" si="0"/>
        <v>0.76856552571641135</v>
      </c>
    </row>
    <row r="7" spans="1:6" x14ac:dyDescent="0.2">
      <c r="A7" s="9" t="s">
        <v>18</v>
      </c>
      <c r="B7" s="10">
        <v>3</v>
      </c>
      <c r="C7" s="11" t="s">
        <v>21</v>
      </c>
      <c r="D7" s="12">
        <v>4122508</v>
      </c>
      <c r="E7" s="23">
        <v>3176144</v>
      </c>
      <c r="F7" s="13">
        <f t="shared" si="0"/>
        <v>0.7704397420211192</v>
      </c>
    </row>
    <row r="8" spans="1:6" x14ac:dyDescent="0.2">
      <c r="C8" t="s">
        <v>11</v>
      </c>
      <c r="D8" s="20">
        <f>AVERAGE(D2:D7)</f>
        <v>3021642</v>
      </c>
      <c r="E8" s="20">
        <f t="shared" ref="E8:F8" si="1">AVERAGE(E2:E7)</f>
        <v>2334930</v>
      </c>
      <c r="F8" s="3">
        <f t="shared" si="1"/>
        <v>0.7736963461384555</v>
      </c>
    </row>
    <row r="9" spans="1:6" x14ac:dyDescent="0.2">
      <c r="A9" s="9"/>
      <c r="B9" s="9"/>
      <c r="C9" s="9" t="s">
        <v>12</v>
      </c>
      <c r="D9" s="19">
        <f>STDEV(D2:D7)</f>
        <v>1200478.0773380245</v>
      </c>
      <c r="E9" s="19">
        <f t="shared" ref="E9:F9" si="2">STDEV(E2:E7)</f>
        <v>917440.84359090973</v>
      </c>
      <c r="F9" s="13">
        <f t="shared" si="2"/>
        <v>8.0192200576312857E-3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027D-97EE-8C45-84CC-12021653609C}">
  <dimension ref="A1:S19"/>
  <sheetViews>
    <sheetView topLeftCell="E1" workbookViewId="0">
      <selection activeCell="M16" sqref="M16"/>
    </sheetView>
  </sheetViews>
  <sheetFormatPr baseColWidth="10" defaultRowHeight="16" x14ac:dyDescent="0.2"/>
  <cols>
    <col min="1" max="1" width="31.33203125" customWidth="1"/>
    <col min="2" max="2" width="9.33203125" customWidth="1"/>
    <col min="3" max="3" width="10.83203125" customWidth="1"/>
    <col min="4" max="4" width="11.33203125" customWidth="1"/>
    <col min="5" max="5" width="11.5" customWidth="1"/>
    <col min="6" max="7" width="17.33203125" customWidth="1"/>
    <col min="10" max="12" width="20.33203125" customWidth="1"/>
    <col min="17" max="17" width="19.33203125" customWidth="1"/>
  </cols>
  <sheetData>
    <row r="1" spans="1:19" s="26" customFormat="1" x14ac:dyDescent="0.2">
      <c r="A1" s="24" t="s">
        <v>0</v>
      </c>
      <c r="B1" s="24" t="s">
        <v>1</v>
      </c>
      <c r="C1" s="24" t="s">
        <v>19</v>
      </c>
      <c r="D1" s="24" t="s">
        <v>5</v>
      </c>
      <c r="E1" s="24" t="s">
        <v>23</v>
      </c>
      <c r="F1" s="24" t="s">
        <v>9</v>
      </c>
      <c r="G1" s="24" t="s">
        <v>24</v>
      </c>
      <c r="H1" s="24" t="s">
        <v>25</v>
      </c>
      <c r="I1" s="24" t="s">
        <v>40</v>
      </c>
      <c r="J1" s="24" t="s">
        <v>6</v>
      </c>
      <c r="K1" s="24" t="s">
        <v>7</v>
      </c>
      <c r="L1" s="24" t="s">
        <v>8</v>
      </c>
      <c r="M1" s="25" t="s">
        <v>26</v>
      </c>
      <c r="N1" s="25" t="s">
        <v>27</v>
      </c>
      <c r="O1" s="25" t="s">
        <v>28</v>
      </c>
      <c r="P1" s="25" t="s">
        <v>22</v>
      </c>
      <c r="Q1" s="24" t="s">
        <v>29</v>
      </c>
      <c r="R1" s="24" t="s">
        <v>38</v>
      </c>
      <c r="S1" s="24" t="s">
        <v>51</v>
      </c>
    </row>
    <row r="2" spans="1:19" x14ac:dyDescent="0.2">
      <c r="A2" s="14" t="s">
        <v>13</v>
      </c>
      <c r="B2" s="2">
        <v>1</v>
      </c>
      <c r="C2" s="1" t="s">
        <v>20</v>
      </c>
      <c r="D2" s="4">
        <v>2052039</v>
      </c>
      <c r="E2" s="4">
        <v>418957</v>
      </c>
      <c r="F2" s="4">
        <v>1204186</v>
      </c>
      <c r="G2" s="4">
        <f>D2-F2-E2</f>
        <v>428896</v>
      </c>
      <c r="H2" s="3">
        <f>F2/(F2+G2)</f>
        <v>0.73737019941435888</v>
      </c>
      <c r="I2" s="3">
        <f>F2/D2</f>
        <v>0.58682412956089036</v>
      </c>
      <c r="J2" s="4">
        <v>396243</v>
      </c>
      <c r="K2" s="4">
        <v>395482</v>
      </c>
      <c r="L2" s="4">
        <v>395536</v>
      </c>
      <c r="M2" s="3">
        <f t="shared" ref="M2:O7" si="0">J2/($J2+$K2+$L2)</f>
        <v>0.33374548646001173</v>
      </c>
      <c r="N2" s="3">
        <f t="shared" si="0"/>
        <v>0.33310451535087904</v>
      </c>
      <c r="O2" s="3">
        <f t="shared" si="0"/>
        <v>0.33314999818910923</v>
      </c>
      <c r="P2">
        <v>34.564</v>
      </c>
      <c r="Q2" s="27">
        <f t="shared" ref="Q2:Q7" si="1">P2/D2*1000000</f>
        <v>16.843734451440735</v>
      </c>
      <c r="R2" s="27">
        <f>Q2/60</f>
        <v>0.28072890752401225</v>
      </c>
      <c r="S2" s="3">
        <f t="shared" ref="S2:S7" si="2">(J2+K2+L2)/D2</f>
        <v>0.57857623563684701</v>
      </c>
    </row>
    <row r="3" spans="1:19" x14ac:dyDescent="0.2">
      <c r="A3" s="5" t="s">
        <v>14</v>
      </c>
      <c r="B3" s="2">
        <v>2</v>
      </c>
      <c r="C3" s="1" t="s">
        <v>20</v>
      </c>
      <c r="D3" s="4">
        <v>1225463</v>
      </c>
      <c r="E3" s="4">
        <v>220835</v>
      </c>
      <c r="F3" s="4">
        <v>737997</v>
      </c>
      <c r="G3" s="4">
        <f>D3-F3-E3</f>
        <v>266631</v>
      </c>
      <c r="H3" s="3">
        <f t="shared" ref="H3:H7" si="3">F3/(F3+G3)</f>
        <v>0.73459728377070921</v>
      </c>
      <c r="I3" s="3">
        <f t="shared" ref="I3:I7" si="4">F3/D3</f>
        <v>0.60221891644219372</v>
      </c>
      <c r="J3" s="4">
        <v>242365</v>
      </c>
      <c r="K3" s="4">
        <v>243385</v>
      </c>
      <c r="L3" s="4">
        <v>243636</v>
      </c>
      <c r="M3" s="3">
        <f t="shared" si="0"/>
        <v>0.332286333985023</v>
      </c>
      <c r="N3" s="3">
        <f t="shared" si="0"/>
        <v>0.33368477047818301</v>
      </c>
      <c r="O3" s="3">
        <f t="shared" si="0"/>
        <v>0.33402889553679393</v>
      </c>
      <c r="P3">
        <v>28.119</v>
      </c>
      <c r="Q3" s="27">
        <f t="shared" si="1"/>
        <v>22.945613209048336</v>
      </c>
      <c r="R3" s="27">
        <f>Q3/60</f>
        <v>0.38242688681747228</v>
      </c>
      <c r="S3" s="3">
        <f t="shared" si="2"/>
        <v>0.59519218450495859</v>
      </c>
    </row>
    <row r="4" spans="1:19" x14ac:dyDescent="0.2">
      <c r="A4" s="5" t="s">
        <v>15</v>
      </c>
      <c r="B4" s="2">
        <v>3</v>
      </c>
      <c r="C4" s="1" t="s">
        <v>20</v>
      </c>
      <c r="D4" s="4">
        <v>2840365</v>
      </c>
      <c r="E4" s="4">
        <v>554927</v>
      </c>
      <c r="F4" s="4">
        <v>1616748</v>
      </c>
      <c r="G4" s="4">
        <f t="shared" ref="G4:G7" si="5">D4-F4-E4</f>
        <v>668690</v>
      </c>
      <c r="H4" s="3">
        <f t="shared" si="3"/>
        <v>0.70741275851718577</v>
      </c>
      <c r="I4" s="3">
        <f t="shared" si="4"/>
        <v>0.56920431000945304</v>
      </c>
      <c r="J4" s="4">
        <v>539078</v>
      </c>
      <c r="K4" s="4">
        <v>527998</v>
      </c>
      <c r="L4" s="4">
        <v>529590</v>
      </c>
      <c r="M4" s="3">
        <f t="shared" si="0"/>
        <v>0.33762728084646382</v>
      </c>
      <c r="N4" s="3">
        <f t="shared" si="0"/>
        <v>0.33068782074648045</v>
      </c>
      <c r="O4" s="3">
        <f t="shared" si="0"/>
        <v>0.33168489840705573</v>
      </c>
      <c r="P4">
        <v>41.384</v>
      </c>
      <c r="Q4" s="27">
        <f t="shared" si="1"/>
        <v>14.56995843844013</v>
      </c>
      <c r="R4" s="27">
        <f t="shared" ref="R4:R6" si="6">Q4/60</f>
        <v>0.24283264064066884</v>
      </c>
      <c r="S4" s="3">
        <f t="shared" si="2"/>
        <v>0.56213409192128472</v>
      </c>
    </row>
    <row r="5" spans="1:19" x14ac:dyDescent="0.2">
      <c r="A5" s="5" t="s">
        <v>16</v>
      </c>
      <c r="B5" s="2">
        <v>1</v>
      </c>
      <c r="C5" s="1" t="s">
        <v>21</v>
      </c>
      <c r="D5" s="4">
        <v>1374577</v>
      </c>
      <c r="E5" s="4">
        <v>298225</v>
      </c>
      <c r="F5" s="4">
        <v>816217</v>
      </c>
      <c r="G5" s="4">
        <f t="shared" si="5"/>
        <v>260135</v>
      </c>
      <c r="H5" s="3">
        <f t="shared" si="3"/>
        <v>0.75831791086930667</v>
      </c>
      <c r="I5" s="3">
        <f t="shared" si="4"/>
        <v>0.59379503658216315</v>
      </c>
      <c r="J5" s="4">
        <v>267992</v>
      </c>
      <c r="K5" s="4">
        <v>268730</v>
      </c>
      <c r="L5" s="4">
        <v>268478</v>
      </c>
      <c r="M5" s="3">
        <f t="shared" si="0"/>
        <v>0.3328266269249876</v>
      </c>
      <c r="N5" s="3">
        <f t="shared" si="0"/>
        <v>0.33374316939890708</v>
      </c>
      <c r="O5" s="3">
        <f t="shared" si="0"/>
        <v>0.33343020367610532</v>
      </c>
      <c r="P5">
        <v>29.991</v>
      </c>
      <c r="Q5" s="27">
        <f t="shared" si="1"/>
        <v>21.818348481023616</v>
      </c>
      <c r="R5" s="27">
        <f t="shared" si="6"/>
        <v>0.3636391413503936</v>
      </c>
      <c r="S5" s="3">
        <f t="shared" si="2"/>
        <v>0.58578020729286173</v>
      </c>
    </row>
    <row r="6" spans="1:19" x14ac:dyDescent="0.2">
      <c r="A6" s="5" t="s">
        <v>17</v>
      </c>
      <c r="B6" s="2">
        <v>2</v>
      </c>
      <c r="C6" s="1" t="s">
        <v>21</v>
      </c>
      <c r="D6" s="4">
        <v>3340992</v>
      </c>
      <c r="E6" s="4">
        <v>581460</v>
      </c>
      <c r="F6" s="4">
        <v>2057780</v>
      </c>
      <c r="G6" s="4">
        <f t="shared" si="5"/>
        <v>701752</v>
      </c>
      <c r="H6" s="3">
        <f t="shared" si="3"/>
        <v>0.74569890836562147</v>
      </c>
      <c r="I6" s="3">
        <f t="shared" si="4"/>
        <v>0.61591886481619829</v>
      </c>
      <c r="J6" s="4">
        <v>674853</v>
      </c>
      <c r="K6" s="4">
        <v>688030</v>
      </c>
      <c r="L6" s="4">
        <v>671700</v>
      </c>
      <c r="M6" s="3">
        <f t="shared" si="0"/>
        <v>0.33169106396740755</v>
      </c>
      <c r="N6" s="3">
        <f t="shared" si="0"/>
        <v>0.33816757537048131</v>
      </c>
      <c r="O6" s="3">
        <f t="shared" si="0"/>
        <v>0.33014136066211108</v>
      </c>
      <c r="P6">
        <v>44.423999999999999</v>
      </c>
      <c r="Q6" s="27">
        <f t="shared" si="1"/>
        <v>13.296649617838057</v>
      </c>
      <c r="R6" s="27">
        <f t="shared" si="6"/>
        <v>0.22161082696396761</v>
      </c>
      <c r="S6" s="3">
        <f t="shared" si="2"/>
        <v>0.60897571739172074</v>
      </c>
    </row>
    <row r="7" spans="1:19" x14ac:dyDescent="0.2">
      <c r="A7" s="9" t="s">
        <v>18</v>
      </c>
      <c r="B7" s="10">
        <v>3</v>
      </c>
      <c r="C7" s="11" t="s">
        <v>21</v>
      </c>
      <c r="D7" s="12">
        <v>3176144</v>
      </c>
      <c r="E7" s="4">
        <v>502540</v>
      </c>
      <c r="F7" s="4">
        <v>1927315</v>
      </c>
      <c r="G7" s="4">
        <f t="shared" si="5"/>
        <v>746289</v>
      </c>
      <c r="H7" s="3">
        <f t="shared" si="3"/>
        <v>0.72086778745094637</v>
      </c>
      <c r="I7" s="3">
        <f t="shared" si="4"/>
        <v>0.60680970384214317</v>
      </c>
      <c r="J7" s="12">
        <v>626793</v>
      </c>
      <c r="K7" s="12">
        <v>639436</v>
      </c>
      <c r="L7" s="12">
        <v>639157</v>
      </c>
      <c r="M7" s="3">
        <f t="shared" si="0"/>
        <v>0.3289585417338009</v>
      </c>
      <c r="N7" s="3">
        <f t="shared" si="0"/>
        <v>0.33559394264469244</v>
      </c>
      <c r="O7" s="3">
        <f t="shared" si="0"/>
        <v>0.3354475156215066</v>
      </c>
      <c r="P7">
        <v>41.088000000000001</v>
      </c>
      <c r="Q7" s="27">
        <f t="shared" si="1"/>
        <v>12.936441168914255</v>
      </c>
      <c r="R7" s="27">
        <f>Q7/60</f>
        <v>0.2156073528152376</v>
      </c>
      <c r="S7" s="3">
        <f t="shared" si="2"/>
        <v>0.5999054199053947</v>
      </c>
    </row>
    <row r="8" spans="1:19" x14ac:dyDescent="0.2">
      <c r="A8" s="14"/>
      <c r="B8" s="14"/>
      <c r="C8" s="14" t="s">
        <v>11</v>
      </c>
      <c r="D8" s="18"/>
      <c r="E8" s="18"/>
      <c r="F8" s="18"/>
      <c r="G8" s="18"/>
      <c r="H8" s="17">
        <f t="shared" ref="H8:O8" si="7">AVERAGE(H2:H7)</f>
        <v>0.73404414139802132</v>
      </c>
      <c r="I8" s="17">
        <f t="shared" si="7"/>
        <v>0.59579516020884027</v>
      </c>
      <c r="J8" s="18">
        <f t="shared" si="7"/>
        <v>457887.33333333331</v>
      </c>
      <c r="K8" s="18">
        <f t="shared" si="7"/>
        <v>460510.16666666669</v>
      </c>
      <c r="L8" s="18">
        <f t="shared" si="7"/>
        <v>458016.16666666669</v>
      </c>
      <c r="M8" s="17">
        <f t="shared" si="7"/>
        <v>0.33285588898628243</v>
      </c>
      <c r="N8" s="17">
        <f t="shared" si="7"/>
        <v>0.3341636323316039</v>
      </c>
      <c r="O8" s="17">
        <f t="shared" si="7"/>
        <v>0.33298047868211361</v>
      </c>
      <c r="P8" s="21">
        <f t="shared" ref="P8:Q8" si="8">AVERAGE(P2:P7)</f>
        <v>36.594999999999999</v>
      </c>
      <c r="Q8" s="21">
        <f t="shared" si="8"/>
        <v>17.068457561117523</v>
      </c>
      <c r="R8" s="21">
        <f t="shared" ref="R8:S8" si="9">AVERAGE(R2:R7)</f>
        <v>0.28447429268529206</v>
      </c>
      <c r="S8" s="17">
        <f t="shared" si="9"/>
        <v>0.58842730944217791</v>
      </c>
    </row>
    <row r="9" spans="1:19" x14ac:dyDescent="0.2">
      <c r="A9" s="9"/>
      <c r="B9" s="9"/>
      <c r="C9" s="9" t="s">
        <v>12</v>
      </c>
      <c r="D9" s="19"/>
      <c r="E9" s="19"/>
      <c r="F9" s="19"/>
      <c r="G9" s="19"/>
      <c r="H9" s="13">
        <f t="shared" ref="H9:O9" si="10">STDEV(H2:H7)</f>
        <v>1.7995915999531299E-2</v>
      </c>
      <c r="I9" s="13">
        <f t="shared" si="10"/>
        <v>1.648697366076857E-2</v>
      </c>
      <c r="J9" s="19">
        <f t="shared" si="10"/>
        <v>183578.47734270664</v>
      </c>
      <c r="K9" s="19">
        <f t="shared" si="10"/>
        <v>187875.4740932585</v>
      </c>
      <c r="L9" s="19">
        <f t="shared" si="10"/>
        <v>184055.93685444284</v>
      </c>
      <c r="M9" s="13">
        <f t="shared" si="10"/>
        <v>2.8435522167663384E-3</v>
      </c>
      <c r="N9" s="13">
        <f t="shared" si="10"/>
        <v>2.5173970746338024E-3</v>
      </c>
      <c r="O9" s="13">
        <f t="shared" si="10"/>
        <v>1.8523259959090524E-3</v>
      </c>
      <c r="P9" s="22">
        <f t="shared" ref="P9:Q9" si="11">STDEV(P2:P7)</f>
        <v>6.693207960313214</v>
      </c>
      <c r="Q9" s="22">
        <f t="shared" si="11"/>
        <v>4.3519079776455873</v>
      </c>
      <c r="R9" s="22">
        <f t="shared" ref="R9:S9" si="12">STDEV(R2:R7)</f>
        <v>7.2531799627426466E-2</v>
      </c>
      <c r="S9" s="13">
        <f t="shared" si="12"/>
        <v>1.6704081634077758E-2</v>
      </c>
    </row>
    <row r="10" spans="1:19" x14ac:dyDescent="0.2">
      <c r="F10" t="s">
        <v>42</v>
      </c>
      <c r="I10" t="s">
        <v>47</v>
      </c>
      <c r="S10" t="s">
        <v>41</v>
      </c>
    </row>
    <row r="11" spans="1:19" x14ac:dyDescent="0.2">
      <c r="A11" t="s">
        <v>39</v>
      </c>
    </row>
    <row r="12" spans="1:19" x14ac:dyDescent="0.2">
      <c r="M12" s="46">
        <f>SUM(J2:L2)</f>
        <v>1187261</v>
      </c>
    </row>
    <row r="13" spans="1:19" x14ac:dyDescent="0.2">
      <c r="M13" s="46">
        <f t="shared" ref="M13:M19" si="13">SUM(J3:L3)</f>
        <v>729386</v>
      </c>
    </row>
    <row r="14" spans="1:19" x14ac:dyDescent="0.2">
      <c r="G14" s="41"/>
      <c r="M14" s="46">
        <f t="shared" si="13"/>
        <v>1596666</v>
      </c>
    </row>
    <row r="15" spans="1:19" x14ac:dyDescent="0.2">
      <c r="G15" s="41"/>
      <c r="M15" s="46">
        <f t="shared" si="13"/>
        <v>805200</v>
      </c>
    </row>
    <row r="16" spans="1:19" x14ac:dyDescent="0.2">
      <c r="G16" s="41"/>
      <c r="M16" s="46">
        <f t="shared" si="13"/>
        <v>2034583</v>
      </c>
    </row>
    <row r="17" spans="7:13" x14ac:dyDescent="0.2">
      <c r="G17" s="41"/>
      <c r="M17" s="46">
        <f t="shared" si="13"/>
        <v>1905386</v>
      </c>
    </row>
    <row r="18" spans="7:13" x14ac:dyDescent="0.2">
      <c r="G18" s="41"/>
      <c r="M18" s="46"/>
    </row>
    <row r="19" spans="7:13" x14ac:dyDescent="0.2">
      <c r="G19" s="41"/>
      <c r="M19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7191-EB84-9140-9493-17DED251511A}">
  <dimension ref="A1:S10"/>
  <sheetViews>
    <sheetView topLeftCell="J1" zoomScale="116" workbookViewId="0">
      <selection activeCell="S1" sqref="S1"/>
    </sheetView>
  </sheetViews>
  <sheetFormatPr baseColWidth="10" defaultRowHeight="16" x14ac:dyDescent="0.2"/>
  <cols>
    <col min="1" max="1" width="31.33203125" customWidth="1"/>
    <col min="2" max="2" width="9.33203125" customWidth="1"/>
    <col min="3" max="3" width="10.83203125" customWidth="1"/>
    <col min="4" max="4" width="11.33203125" customWidth="1"/>
    <col min="5" max="5" width="11.5" customWidth="1"/>
    <col min="6" max="7" width="17.33203125" customWidth="1"/>
    <col min="10" max="12" width="20.33203125" customWidth="1"/>
    <col min="17" max="17" width="19.33203125" customWidth="1"/>
  </cols>
  <sheetData>
    <row r="1" spans="1:19" s="26" customFormat="1" x14ac:dyDescent="0.2">
      <c r="A1" s="24" t="s">
        <v>0</v>
      </c>
      <c r="B1" s="24" t="s">
        <v>1</v>
      </c>
      <c r="C1" s="24" t="s">
        <v>19</v>
      </c>
      <c r="D1" s="24" t="s">
        <v>5</v>
      </c>
      <c r="E1" s="24" t="s">
        <v>23</v>
      </c>
      <c r="F1" s="24" t="s">
        <v>9</v>
      </c>
      <c r="G1" s="24" t="s">
        <v>24</v>
      </c>
      <c r="H1" s="24" t="s">
        <v>25</v>
      </c>
      <c r="I1" s="24" t="s">
        <v>40</v>
      </c>
      <c r="J1" s="24" t="s">
        <v>6</v>
      </c>
      <c r="K1" s="24" t="s">
        <v>7</v>
      </c>
      <c r="L1" s="24" t="s">
        <v>8</v>
      </c>
      <c r="M1" s="25" t="s">
        <v>26</v>
      </c>
      <c r="N1" s="25" t="s">
        <v>27</v>
      </c>
      <c r="O1" s="25" t="s">
        <v>28</v>
      </c>
      <c r="P1" s="25" t="s">
        <v>22</v>
      </c>
      <c r="Q1" s="24" t="s">
        <v>29</v>
      </c>
      <c r="R1" s="24" t="s">
        <v>38</v>
      </c>
      <c r="S1" s="24" t="s">
        <v>51</v>
      </c>
    </row>
    <row r="2" spans="1:19" x14ac:dyDescent="0.2">
      <c r="A2" s="14" t="s">
        <v>13</v>
      </c>
      <c r="B2" s="2">
        <v>1</v>
      </c>
      <c r="C2" s="1" t="s">
        <v>20</v>
      </c>
      <c r="D2" s="4">
        <v>2052039</v>
      </c>
      <c r="E2" s="4">
        <f>D2-F2-G2</f>
        <v>184762</v>
      </c>
      <c r="F2" s="4">
        <v>1252773</v>
      </c>
      <c r="G2" s="4">
        <v>614504</v>
      </c>
      <c r="H2" s="3">
        <f>F2/(F2+G2)</f>
        <v>0.67090902956551168</v>
      </c>
      <c r="I2" s="3">
        <f>F2/D2</f>
        <v>0.61050155479501123</v>
      </c>
      <c r="J2" s="4">
        <v>410809</v>
      </c>
      <c r="K2" s="4">
        <v>411883</v>
      </c>
      <c r="L2" s="4">
        <v>411971</v>
      </c>
      <c r="M2" s="3">
        <f t="shared" ref="M2:O7" si="0">J2/($J2+$K2+$L2)</f>
        <v>0.33272965983430297</v>
      </c>
      <c r="N2" s="3">
        <f t="shared" si="0"/>
        <v>0.33359953282798627</v>
      </c>
      <c r="O2" s="3">
        <f t="shared" si="0"/>
        <v>0.33367080733771076</v>
      </c>
      <c r="P2">
        <v>196.32499999999999</v>
      </c>
      <c r="Q2" s="27">
        <f t="shared" ref="Q2:Q7" si="1">P2/D2*1000000</f>
        <v>95.673132918039073</v>
      </c>
      <c r="R2" s="27">
        <f>Q2/60</f>
        <v>1.5945522153006513</v>
      </c>
      <c r="S2" s="3">
        <f t="shared" ref="S2:S7" si="2">(J2+K2+L2)/D2</f>
        <v>0.60167618646624166</v>
      </c>
    </row>
    <row r="3" spans="1:19" x14ac:dyDescent="0.2">
      <c r="A3" s="5" t="s">
        <v>14</v>
      </c>
      <c r="B3" s="2">
        <v>2</v>
      </c>
      <c r="C3" s="1" t="s">
        <v>20</v>
      </c>
      <c r="D3" s="4">
        <v>1225463</v>
      </c>
      <c r="E3" s="4">
        <f t="shared" ref="E3:E7" si="3">D3-F3-G3</f>
        <v>86285</v>
      </c>
      <c r="F3" s="4">
        <v>772166</v>
      </c>
      <c r="G3" s="4">
        <v>367012</v>
      </c>
      <c r="H3" s="3">
        <f t="shared" ref="H3:H7" si="4">F3/(F3+G3)</f>
        <v>0.67782734568258862</v>
      </c>
      <c r="I3" s="3">
        <f t="shared" ref="I3:I7" si="5">F3/D3</f>
        <v>0.63010143921113893</v>
      </c>
      <c r="J3" s="4">
        <v>252754</v>
      </c>
      <c r="K3" s="4">
        <v>255312</v>
      </c>
      <c r="L3" s="4">
        <v>254949</v>
      </c>
      <c r="M3" s="3">
        <f t="shared" si="0"/>
        <v>0.33125692155462211</v>
      </c>
      <c r="N3" s="3">
        <f t="shared" si="0"/>
        <v>0.33460941134840078</v>
      </c>
      <c r="O3" s="3">
        <f t="shared" si="0"/>
        <v>0.33413366709697712</v>
      </c>
      <c r="P3">
        <v>199.75399999999999</v>
      </c>
      <c r="Q3" s="27">
        <f t="shared" si="1"/>
        <v>163.00288135994313</v>
      </c>
      <c r="R3" s="27">
        <f>Q3/60</f>
        <v>2.7167146893323855</v>
      </c>
      <c r="S3" s="3">
        <f t="shared" si="2"/>
        <v>0.62263405749500389</v>
      </c>
    </row>
    <row r="4" spans="1:19" x14ac:dyDescent="0.2">
      <c r="A4" s="5" t="s">
        <v>15</v>
      </c>
      <c r="B4" s="2">
        <v>3</v>
      </c>
      <c r="C4" s="1" t="s">
        <v>20</v>
      </c>
      <c r="D4" s="4">
        <v>2840365</v>
      </c>
      <c r="E4" s="4">
        <f t="shared" si="3"/>
        <v>206494</v>
      </c>
      <c r="F4" s="4">
        <v>1701256</v>
      </c>
      <c r="G4" s="4">
        <v>932615</v>
      </c>
      <c r="H4" s="3">
        <f>F4/(F4+G4)</f>
        <v>0.645914701213537</v>
      </c>
      <c r="I4" s="3">
        <f t="shared" si="5"/>
        <v>0.59895682421097285</v>
      </c>
      <c r="J4" s="4">
        <v>565304</v>
      </c>
      <c r="K4" s="4">
        <v>557482</v>
      </c>
      <c r="L4" s="4">
        <v>557528</v>
      </c>
      <c r="M4" s="3">
        <f t="shared" si="0"/>
        <v>0.33642759627069702</v>
      </c>
      <c r="N4" s="3">
        <f t="shared" si="0"/>
        <v>0.33177251394679802</v>
      </c>
      <c r="O4" s="3">
        <f t="shared" si="0"/>
        <v>0.33179988978250496</v>
      </c>
      <c r="P4">
        <v>204.89400000000001</v>
      </c>
      <c r="Q4" s="27">
        <f t="shared" si="1"/>
        <v>72.136503583166245</v>
      </c>
      <c r="R4" s="27">
        <f t="shared" ref="R4:R6" si="6">Q4/60</f>
        <v>1.2022750597194374</v>
      </c>
      <c r="S4" s="3">
        <f t="shared" si="2"/>
        <v>0.5915838281347644</v>
      </c>
    </row>
    <row r="5" spans="1:19" x14ac:dyDescent="0.2">
      <c r="A5" s="5" t="s">
        <v>16</v>
      </c>
      <c r="B5" s="2">
        <v>1</v>
      </c>
      <c r="C5" s="1" t="s">
        <v>21</v>
      </c>
      <c r="D5" s="4">
        <v>1374577</v>
      </c>
      <c r="E5" s="4">
        <f t="shared" si="3"/>
        <v>131876</v>
      </c>
      <c r="F5" s="4">
        <v>858110</v>
      </c>
      <c r="G5" s="4">
        <v>384591</v>
      </c>
      <c r="H5" s="3">
        <f>F5/(F5+G5)</f>
        <v>0.69052008487962913</v>
      </c>
      <c r="I5" s="3">
        <f t="shared" si="5"/>
        <v>0.62427204878300746</v>
      </c>
      <c r="J5" s="4">
        <v>280754</v>
      </c>
      <c r="K5" s="4">
        <v>282722</v>
      </c>
      <c r="L5" s="4">
        <v>282395</v>
      </c>
      <c r="M5" s="3">
        <f t="shared" si="0"/>
        <v>0.3319111306570387</v>
      </c>
      <c r="N5" s="3">
        <f t="shared" si="0"/>
        <v>0.33423772655641343</v>
      </c>
      <c r="O5" s="3">
        <f t="shared" si="0"/>
        <v>0.33385114278654782</v>
      </c>
      <c r="P5">
        <v>80.781999999999996</v>
      </c>
      <c r="Q5" s="27">
        <f t="shared" si="1"/>
        <v>58.768624820581159</v>
      </c>
      <c r="R5" s="27">
        <f t="shared" si="6"/>
        <v>0.97947708034301928</v>
      </c>
      <c r="S5" s="3">
        <f t="shared" si="2"/>
        <v>0.61536821873201719</v>
      </c>
    </row>
    <row r="6" spans="1:19" x14ac:dyDescent="0.2">
      <c r="A6" s="5" t="s">
        <v>17</v>
      </c>
      <c r="B6" s="2">
        <v>2</v>
      </c>
      <c r="C6" s="1" t="s">
        <v>21</v>
      </c>
      <c r="D6" s="4">
        <v>3340992</v>
      </c>
      <c r="E6" s="4">
        <f t="shared" si="3"/>
        <v>244900</v>
      </c>
      <c r="F6" s="4">
        <v>2142498</v>
      </c>
      <c r="G6" s="4">
        <v>953594</v>
      </c>
      <c r="H6" s="3">
        <f t="shared" si="4"/>
        <v>0.69200075449954335</v>
      </c>
      <c r="I6" s="3">
        <f t="shared" si="5"/>
        <v>0.64127600425262921</v>
      </c>
      <c r="J6" s="4">
        <v>700864</v>
      </c>
      <c r="K6" s="4">
        <v>717466</v>
      </c>
      <c r="L6" s="4">
        <v>699399</v>
      </c>
      <c r="M6" s="3">
        <f t="shared" si="0"/>
        <v>0.3309507496001613</v>
      </c>
      <c r="N6" s="3">
        <f t="shared" si="0"/>
        <v>0.33879027958723706</v>
      </c>
      <c r="O6" s="3">
        <f t="shared" si="0"/>
        <v>0.33025897081260164</v>
      </c>
      <c r="P6">
        <v>84.796999999999997</v>
      </c>
      <c r="Q6" s="27">
        <f t="shared" si="1"/>
        <v>25.380785108135548</v>
      </c>
      <c r="R6" s="27">
        <f t="shared" si="6"/>
        <v>0.42301308513559249</v>
      </c>
      <c r="S6" s="3">
        <f t="shared" si="2"/>
        <v>0.63386233789245827</v>
      </c>
    </row>
    <row r="7" spans="1:19" x14ac:dyDescent="0.2">
      <c r="A7" s="9" t="s">
        <v>18</v>
      </c>
      <c r="B7" s="10">
        <v>3</v>
      </c>
      <c r="C7" s="11" t="s">
        <v>21</v>
      </c>
      <c r="D7" s="12">
        <v>3176144</v>
      </c>
      <c r="E7" s="4">
        <f t="shared" si="3"/>
        <v>203532</v>
      </c>
      <c r="F7" s="4">
        <v>1998311</v>
      </c>
      <c r="G7" s="4">
        <v>974301</v>
      </c>
      <c r="H7" s="3">
        <f t="shared" si="4"/>
        <v>0.6722407767983174</v>
      </c>
      <c r="I7" s="3">
        <f t="shared" si="5"/>
        <v>0.62916259464306401</v>
      </c>
      <c r="J7" s="12">
        <v>648052</v>
      </c>
      <c r="K7" s="12">
        <v>664511</v>
      </c>
      <c r="L7" s="12">
        <v>663023</v>
      </c>
      <c r="M7" s="3">
        <f t="shared" si="0"/>
        <v>0.32803026545035247</v>
      </c>
      <c r="N7" s="3">
        <f t="shared" si="0"/>
        <v>0.33636146439588049</v>
      </c>
      <c r="O7" s="3">
        <f t="shared" si="0"/>
        <v>0.33560827015376704</v>
      </c>
      <c r="P7">
        <v>218.333</v>
      </c>
      <c r="Q7" s="27">
        <f t="shared" si="1"/>
        <v>68.741530610702796</v>
      </c>
      <c r="R7" s="27">
        <f>Q7/60</f>
        <v>1.1456921768450465</v>
      </c>
      <c r="S7" s="3">
        <f t="shared" si="2"/>
        <v>0.62200769234644271</v>
      </c>
    </row>
    <row r="8" spans="1:19" x14ac:dyDescent="0.2">
      <c r="A8" s="14"/>
      <c r="B8" s="14"/>
      <c r="C8" s="14" t="s">
        <v>11</v>
      </c>
      <c r="D8" s="18"/>
      <c r="E8" s="18"/>
      <c r="F8" s="18"/>
      <c r="G8" s="18"/>
      <c r="H8" s="17">
        <f t="shared" ref="H8:S8" si="7">AVERAGE(H2:H7)</f>
        <v>0.67490211543985446</v>
      </c>
      <c r="I8" s="17">
        <f t="shared" si="7"/>
        <v>0.62237841098263735</v>
      </c>
      <c r="J8" s="18">
        <f t="shared" si="7"/>
        <v>476422.83333333331</v>
      </c>
      <c r="K8" s="18">
        <f t="shared" si="7"/>
        <v>481562.66666666669</v>
      </c>
      <c r="L8" s="18">
        <f t="shared" si="7"/>
        <v>478210.83333333331</v>
      </c>
      <c r="M8" s="17">
        <f t="shared" si="7"/>
        <v>0.3318843872278624</v>
      </c>
      <c r="N8" s="17">
        <f t="shared" si="7"/>
        <v>0.33489515477711929</v>
      </c>
      <c r="O8" s="17">
        <f t="shared" si="7"/>
        <v>0.3332204579950182</v>
      </c>
      <c r="P8" s="21">
        <f t="shared" si="7"/>
        <v>164.14750000000001</v>
      </c>
      <c r="Q8" s="21">
        <f t="shared" si="7"/>
        <v>80.617243066761333</v>
      </c>
      <c r="R8" s="21">
        <f t="shared" si="7"/>
        <v>1.3436207177793555</v>
      </c>
      <c r="S8" s="17">
        <f t="shared" si="7"/>
        <v>0.61452205351115463</v>
      </c>
    </row>
    <row r="9" spans="1:19" x14ac:dyDescent="0.2">
      <c r="A9" s="9"/>
      <c r="B9" s="9"/>
      <c r="C9" s="9" t="s">
        <v>12</v>
      </c>
      <c r="D9" s="19"/>
      <c r="E9" s="19"/>
      <c r="F9" s="19"/>
      <c r="G9" s="19"/>
      <c r="H9" s="13">
        <f t="shared" ref="H9:S9" si="8">STDEV(H2:H7)</f>
        <v>1.6781770113913411E-2</v>
      </c>
      <c r="I9" s="13">
        <f t="shared" si="8"/>
        <v>1.5205299393815479E-2</v>
      </c>
      <c r="J9" s="19">
        <f t="shared" si="8"/>
        <v>189920.76474194878</v>
      </c>
      <c r="K9" s="19">
        <f t="shared" si="8"/>
        <v>195175.02471132582</v>
      </c>
      <c r="L9" s="19">
        <f t="shared" si="8"/>
        <v>190760.77022115068</v>
      </c>
      <c r="M9" s="13">
        <f t="shared" si="8"/>
        <v>2.7377215513608301E-3</v>
      </c>
      <c r="N9" s="13">
        <f t="shared" si="8"/>
        <v>2.4193157853892372E-3</v>
      </c>
      <c r="O9" s="13">
        <f t="shared" si="8"/>
        <v>1.8933882847488219E-3</v>
      </c>
      <c r="P9" s="22">
        <f t="shared" si="8"/>
        <v>63.475772482893042</v>
      </c>
      <c r="Q9" s="22">
        <f t="shared" si="8"/>
        <v>46.379860094223503</v>
      </c>
      <c r="R9" s="22">
        <f t="shared" si="8"/>
        <v>0.77299766823705851</v>
      </c>
      <c r="S9" s="13">
        <f t="shared" si="8"/>
        <v>1.5412854871766673E-2</v>
      </c>
    </row>
    <row r="10" spans="1:19" x14ac:dyDescent="0.2">
      <c r="F10" t="s">
        <v>42</v>
      </c>
      <c r="I10" t="s">
        <v>47</v>
      </c>
      <c r="S10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EFD4-A36D-7843-8AFA-92A18F957172}">
  <dimension ref="A1:U21"/>
  <sheetViews>
    <sheetView topLeftCell="J1" zoomScale="83" workbookViewId="0">
      <selection activeCell="N31" sqref="N31"/>
    </sheetView>
  </sheetViews>
  <sheetFormatPr baseColWidth="10" defaultRowHeight="16" x14ac:dyDescent="0.2"/>
  <cols>
    <col min="1" max="1" width="32.83203125" customWidth="1"/>
    <col min="2" max="2" width="11" bestFit="1" customWidth="1"/>
    <col min="3" max="3" width="14.1640625" customWidth="1"/>
    <col min="4" max="4" width="12.6640625" customWidth="1"/>
    <col min="5" max="12" width="16.1640625" customWidth="1"/>
    <col min="13" max="15" width="11.6640625" customWidth="1"/>
    <col min="16" max="18" width="11" bestFit="1" customWidth="1"/>
    <col min="19" max="19" width="14.6640625" bestFit="1" customWidth="1"/>
    <col min="20" max="20" width="11" bestFit="1" customWidth="1"/>
  </cols>
  <sheetData>
    <row r="1" spans="1:21" x14ac:dyDescent="0.2">
      <c r="A1" s="24" t="s">
        <v>0</v>
      </c>
      <c r="B1" s="24" t="s">
        <v>1</v>
      </c>
      <c r="C1" s="24" t="s">
        <v>19</v>
      </c>
      <c r="D1" s="24" t="s">
        <v>5</v>
      </c>
      <c r="E1" s="28" t="s">
        <v>6</v>
      </c>
      <c r="F1" s="24" t="s">
        <v>30</v>
      </c>
      <c r="G1" s="29" t="s">
        <v>31</v>
      </c>
      <c r="H1" s="24" t="s">
        <v>7</v>
      </c>
      <c r="I1" s="24" t="s">
        <v>32</v>
      </c>
      <c r="J1" s="24" t="s">
        <v>33</v>
      </c>
      <c r="K1" s="28" t="s">
        <v>8</v>
      </c>
      <c r="L1" s="24" t="s">
        <v>34</v>
      </c>
      <c r="M1" s="29" t="s">
        <v>35</v>
      </c>
      <c r="N1" s="45" t="s">
        <v>48</v>
      </c>
      <c r="O1" s="45" t="s">
        <v>49</v>
      </c>
      <c r="P1" s="45" t="s">
        <v>50</v>
      </c>
      <c r="Q1" s="24" t="s">
        <v>46</v>
      </c>
      <c r="R1" s="24" t="s">
        <v>26</v>
      </c>
      <c r="S1" s="24" t="s">
        <v>27</v>
      </c>
      <c r="T1" s="24" t="s">
        <v>28</v>
      </c>
      <c r="U1" s="24" t="s">
        <v>51</v>
      </c>
    </row>
    <row r="2" spans="1:21" x14ac:dyDescent="0.2">
      <c r="A2" s="14" t="s">
        <v>13</v>
      </c>
      <c r="B2" s="2">
        <v>1</v>
      </c>
      <c r="C2" s="1" t="s">
        <v>20</v>
      </c>
      <c r="D2" s="4">
        <v>2078810</v>
      </c>
      <c r="E2" s="42">
        <v>1191185</v>
      </c>
      <c r="F2" s="7">
        <v>498130</v>
      </c>
      <c r="G2" s="30">
        <f>D2-E2-F2</f>
        <v>389495</v>
      </c>
      <c r="H2">
        <v>1227784</v>
      </c>
      <c r="I2" s="4">
        <v>477607</v>
      </c>
      <c r="J2" s="4">
        <f>D2-H2-I2</f>
        <v>373419</v>
      </c>
      <c r="K2" s="42">
        <v>1228922</v>
      </c>
      <c r="L2" s="7">
        <v>497422</v>
      </c>
      <c r="M2" s="30">
        <f>D2-K2-L2</f>
        <v>352466</v>
      </c>
      <c r="N2" s="4">
        <v>92669</v>
      </c>
      <c r="O2" s="4">
        <v>99808</v>
      </c>
      <c r="P2" s="4">
        <v>90576</v>
      </c>
      <c r="Q2" s="4">
        <f>SUM(N2:P2)</f>
        <v>283053</v>
      </c>
      <c r="R2" s="3">
        <f>N2/Q2</f>
        <v>0.32739098331407901</v>
      </c>
      <c r="S2" s="3">
        <f>O2/Q2</f>
        <v>0.35261240827689516</v>
      </c>
      <c r="T2" s="3">
        <f>P2/Q2</f>
        <v>0.31999660840902588</v>
      </c>
      <c r="U2" s="3">
        <f t="shared" ref="U2:U7" si="0">Q2/D2</f>
        <v>0.13616107292152721</v>
      </c>
    </row>
    <row r="3" spans="1:21" x14ac:dyDescent="0.2">
      <c r="A3" s="5" t="s">
        <v>14</v>
      </c>
      <c r="B3" s="2">
        <v>2</v>
      </c>
      <c r="C3" s="1" t="s">
        <v>20</v>
      </c>
      <c r="D3" s="4">
        <v>1241292</v>
      </c>
      <c r="E3" s="32">
        <v>740747</v>
      </c>
      <c r="F3" s="7">
        <v>267473</v>
      </c>
      <c r="G3" s="30">
        <f t="shared" ref="G3:G7" si="1">D3-E3-F3</f>
        <v>233072</v>
      </c>
      <c r="H3">
        <v>782782</v>
      </c>
      <c r="I3" s="4">
        <v>232553</v>
      </c>
      <c r="J3" s="4">
        <f t="shared" ref="J3:J7" si="2">D3-H3-I3</f>
        <v>225957</v>
      </c>
      <c r="K3" s="32">
        <v>762487</v>
      </c>
      <c r="L3" s="7">
        <v>264296</v>
      </c>
      <c r="M3" s="30">
        <f t="shared" ref="M3:M7" si="3">D3-K3-L3</f>
        <v>214509</v>
      </c>
      <c r="N3" s="4">
        <v>58004</v>
      </c>
      <c r="O3" s="4">
        <v>65256</v>
      </c>
      <c r="P3" s="4">
        <v>58708</v>
      </c>
      <c r="Q3" s="4">
        <f t="shared" ref="Q3:Q7" si="4">SUM(N3:P3)</f>
        <v>181968</v>
      </c>
      <c r="R3" s="3">
        <f t="shared" ref="R3:R7" si="5">N3/Q3</f>
        <v>0.31875934230194319</v>
      </c>
      <c r="S3" s="3">
        <f t="shared" ref="S3:S7" si="6">O3/Q3</f>
        <v>0.35861250329728306</v>
      </c>
      <c r="T3" s="3">
        <f t="shared" ref="T3:T7" si="7">P3/Q3</f>
        <v>0.32262815440077375</v>
      </c>
      <c r="U3" s="3">
        <f t="shared" si="0"/>
        <v>0.14659564389362051</v>
      </c>
    </row>
    <row r="4" spans="1:21" x14ac:dyDescent="0.2">
      <c r="A4" s="5" t="s">
        <v>15</v>
      </c>
      <c r="B4" s="2">
        <v>3</v>
      </c>
      <c r="C4" s="1" t="s">
        <v>20</v>
      </c>
      <c r="D4" s="4">
        <v>2874064</v>
      </c>
      <c r="E4" s="32">
        <v>1674711</v>
      </c>
      <c r="F4" s="7">
        <v>688541</v>
      </c>
      <c r="G4" s="30">
        <f t="shared" si="1"/>
        <v>510812</v>
      </c>
      <c r="H4">
        <v>1803367</v>
      </c>
      <c r="I4" s="4">
        <v>573611</v>
      </c>
      <c r="J4" s="4">
        <f t="shared" si="2"/>
        <v>497086</v>
      </c>
      <c r="K4" s="32">
        <v>1732844</v>
      </c>
      <c r="L4" s="7">
        <v>674657</v>
      </c>
      <c r="M4" s="30">
        <f t="shared" si="3"/>
        <v>466563</v>
      </c>
      <c r="N4" s="4">
        <v>138269</v>
      </c>
      <c r="O4" s="4">
        <v>157499</v>
      </c>
      <c r="P4" s="4">
        <v>135468</v>
      </c>
      <c r="Q4" s="4">
        <f t="shared" si="4"/>
        <v>431236</v>
      </c>
      <c r="R4" s="3">
        <f t="shared" si="5"/>
        <v>0.32063417710951775</v>
      </c>
      <c r="S4" s="3">
        <f t="shared" si="6"/>
        <v>0.36522692910610433</v>
      </c>
      <c r="T4" s="3">
        <f t="shared" si="7"/>
        <v>0.31413889378437793</v>
      </c>
      <c r="U4" s="3">
        <f t="shared" si="0"/>
        <v>0.15004397953559837</v>
      </c>
    </row>
    <row r="5" spans="1:21" x14ac:dyDescent="0.2">
      <c r="A5" s="5" t="s">
        <v>16</v>
      </c>
      <c r="B5" s="2">
        <v>1</v>
      </c>
      <c r="C5" s="1" t="s">
        <v>21</v>
      </c>
      <c r="D5" s="4">
        <v>1393116</v>
      </c>
      <c r="E5" s="32">
        <v>794443</v>
      </c>
      <c r="F5" s="7">
        <v>316903</v>
      </c>
      <c r="G5" s="30">
        <f t="shared" si="1"/>
        <v>281770</v>
      </c>
      <c r="H5">
        <v>822067</v>
      </c>
      <c r="I5" s="4">
        <v>306821</v>
      </c>
      <c r="J5" s="4">
        <f t="shared" si="2"/>
        <v>264228</v>
      </c>
      <c r="K5" s="32">
        <v>819859</v>
      </c>
      <c r="L5" s="7">
        <v>319842</v>
      </c>
      <c r="M5" s="30">
        <f t="shared" si="3"/>
        <v>253415</v>
      </c>
      <c r="N5" s="4">
        <v>60875</v>
      </c>
      <c r="O5" s="4">
        <v>61817</v>
      </c>
      <c r="P5" s="4">
        <v>58625</v>
      </c>
      <c r="Q5" s="4">
        <f t="shared" si="4"/>
        <v>181317</v>
      </c>
      <c r="R5" s="3">
        <f t="shared" si="5"/>
        <v>0.33573796169140235</v>
      </c>
      <c r="S5" s="3">
        <f t="shared" si="6"/>
        <v>0.34093328259346889</v>
      </c>
      <c r="T5" s="3">
        <f t="shared" si="7"/>
        <v>0.32332875571512876</v>
      </c>
      <c r="U5" s="3">
        <f t="shared" si="0"/>
        <v>0.13015211942149829</v>
      </c>
    </row>
    <row r="6" spans="1:21" x14ac:dyDescent="0.2">
      <c r="A6" s="5" t="s">
        <v>17</v>
      </c>
      <c r="B6" s="2">
        <v>2</v>
      </c>
      <c r="C6" s="1" t="s">
        <v>21</v>
      </c>
      <c r="D6" s="4">
        <v>3385387</v>
      </c>
      <c r="E6" s="32">
        <v>2037031</v>
      </c>
      <c r="F6" s="7">
        <v>697859</v>
      </c>
      <c r="G6" s="30">
        <f t="shared" si="1"/>
        <v>650497</v>
      </c>
      <c r="H6">
        <v>2135715</v>
      </c>
      <c r="I6" s="4">
        <v>627022</v>
      </c>
      <c r="J6" s="4">
        <f t="shared" si="2"/>
        <v>622650</v>
      </c>
      <c r="K6" s="32">
        <v>2094869</v>
      </c>
      <c r="L6" s="7">
        <v>696599</v>
      </c>
      <c r="M6" s="30">
        <f t="shared" si="3"/>
        <v>593919</v>
      </c>
      <c r="N6" s="4">
        <v>160658</v>
      </c>
      <c r="O6" s="4">
        <v>178206</v>
      </c>
      <c r="P6" s="4">
        <v>156621</v>
      </c>
      <c r="Q6" s="4">
        <f t="shared" si="4"/>
        <v>495485</v>
      </c>
      <c r="R6" s="3">
        <f t="shared" si="5"/>
        <v>0.32424392262127005</v>
      </c>
      <c r="S6" s="3">
        <f t="shared" si="6"/>
        <v>0.35965972733786089</v>
      </c>
      <c r="T6" s="3">
        <f t="shared" si="7"/>
        <v>0.31609635004086906</v>
      </c>
      <c r="U6" s="3">
        <f t="shared" si="0"/>
        <v>0.14635992871715997</v>
      </c>
    </row>
    <row r="7" spans="1:21" x14ac:dyDescent="0.2">
      <c r="A7" s="9" t="s">
        <v>18</v>
      </c>
      <c r="B7" s="10">
        <v>3</v>
      </c>
      <c r="C7" s="11" t="s">
        <v>21</v>
      </c>
      <c r="D7" s="12">
        <v>3217619</v>
      </c>
      <c r="E7" s="35">
        <v>1919549</v>
      </c>
      <c r="F7" s="12">
        <v>698892</v>
      </c>
      <c r="G7" s="31">
        <f t="shared" si="1"/>
        <v>599178</v>
      </c>
      <c r="H7" s="9">
        <v>2035418</v>
      </c>
      <c r="I7" s="12">
        <v>597150</v>
      </c>
      <c r="J7" s="12">
        <f t="shared" si="2"/>
        <v>585051</v>
      </c>
      <c r="K7" s="35">
        <v>1971697</v>
      </c>
      <c r="L7" s="12">
        <v>698399</v>
      </c>
      <c r="M7" s="31">
        <f t="shared" si="3"/>
        <v>547523</v>
      </c>
      <c r="N7" s="4">
        <v>148632</v>
      </c>
      <c r="O7" s="4">
        <v>168776</v>
      </c>
      <c r="P7" s="4">
        <v>148484</v>
      </c>
      <c r="Q7" s="4">
        <f t="shared" si="4"/>
        <v>465892</v>
      </c>
      <c r="R7" s="3">
        <f t="shared" si="5"/>
        <v>0.31902672722433523</v>
      </c>
      <c r="S7" s="3">
        <f t="shared" si="6"/>
        <v>0.36226421574098716</v>
      </c>
      <c r="T7" s="3">
        <f t="shared" si="7"/>
        <v>0.31870905703467756</v>
      </c>
      <c r="U7" s="3">
        <f t="shared" si="0"/>
        <v>0.14479402315811785</v>
      </c>
    </row>
    <row r="8" spans="1:21" x14ac:dyDescent="0.2">
      <c r="A8" s="14"/>
      <c r="B8" s="14"/>
      <c r="C8" s="14" t="s">
        <v>11</v>
      </c>
      <c r="D8" s="18"/>
      <c r="E8" s="32"/>
      <c r="G8" s="33"/>
      <c r="K8" s="32"/>
      <c r="M8" s="33"/>
      <c r="N8" s="14"/>
      <c r="O8" s="14"/>
      <c r="P8" s="14"/>
      <c r="Q8" s="14"/>
      <c r="R8" s="34">
        <f>AVERAGE(R2:R7)</f>
        <v>0.32429885237709127</v>
      </c>
      <c r="S8" s="34">
        <f t="shared" ref="S8:T8" si="8">AVERAGE(S2:S7)</f>
        <v>0.35655151105876653</v>
      </c>
      <c r="T8" s="34">
        <f t="shared" si="8"/>
        <v>0.31914963656414214</v>
      </c>
      <c r="U8" s="34">
        <f t="shared" ref="U8" si="9">AVERAGE(U2:U7)</f>
        <v>0.14235112794125368</v>
      </c>
    </row>
    <row r="9" spans="1:21" x14ac:dyDescent="0.2">
      <c r="A9" s="9"/>
      <c r="B9" s="9"/>
      <c r="C9" s="9" t="s">
        <v>12</v>
      </c>
      <c r="D9" s="19"/>
      <c r="E9" s="35"/>
      <c r="F9" s="9"/>
      <c r="G9" s="36"/>
      <c r="H9" s="9"/>
      <c r="I9" s="9"/>
      <c r="J9" s="9"/>
      <c r="K9" s="35"/>
      <c r="L9" s="9"/>
      <c r="M9" s="36"/>
      <c r="N9" s="9"/>
      <c r="O9" s="9"/>
      <c r="P9" s="9"/>
      <c r="Q9" s="9"/>
      <c r="R9" s="13">
        <f>STDEV(R2:R7)</f>
        <v>6.516576297873982E-3</v>
      </c>
      <c r="S9" s="13">
        <f t="shared" ref="S9:T9" si="10">STDEV(S2:S7)</f>
        <v>8.7321493533673907E-3</v>
      </c>
      <c r="T9" s="13">
        <f t="shared" si="10"/>
        <v>3.6029625766548449E-3</v>
      </c>
      <c r="U9" s="13">
        <f t="shared" ref="U9" si="11">STDEV(U2:U7)</f>
        <v>7.5679150634279475E-3</v>
      </c>
    </row>
    <row r="12" spans="1:21" x14ac:dyDescent="0.2">
      <c r="A12" s="37" t="s">
        <v>36</v>
      </c>
    </row>
    <row r="13" spans="1:21" x14ac:dyDescent="0.2">
      <c r="A13" s="24" t="s">
        <v>0</v>
      </c>
      <c r="B13" s="24" t="s">
        <v>1</v>
      </c>
      <c r="C13" s="24" t="s">
        <v>19</v>
      </c>
      <c r="D13" s="24" t="s">
        <v>5</v>
      </c>
      <c r="E13" s="28" t="s">
        <v>44</v>
      </c>
      <c r="F13" s="24" t="s">
        <v>43</v>
      </c>
      <c r="G13" s="24" t="s">
        <v>45</v>
      </c>
      <c r="H13" s="28" t="s">
        <v>37</v>
      </c>
      <c r="I13" s="24" t="s">
        <v>38</v>
      </c>
      <c r="Q13" s="4"/>
      <c r="S13" s="3"/>
      <c r="T13" s="3"/>
      <c r="U13" s="3"/>
    </row>
    <row r="14" spans="1:21" x14ac:dyDescent="0.2">
      <c r="A14" s="14" t="s">
        <v>13</v>
      </c>
      <c r="B14" s="2">
        <v>1</v>
      </c>
      <c r="C14" s="1" t="s">
        <v>20</v>
      </c>
      <c r="D14" s="4">
        <v>2078810</v>
      </c>
      <c r="E14" s="32">
        <v>167.36500000000001</v>
      </c>
      <c r="F14">
        <v>4733.1850000000004</v>
      </c>
      <c r="G14" s="38">
        <v>101.28400000000001</v>
      </c>
      <c r="H14" s="43">
        <f>E14+F14+G14</f>
        <v>5001.8339999999998</v>
      </c>
      <c r="I14" s="27">
        <f>(H14/60)/D14*1000000</f>
        <v>40.101740899841737</v>
      </c>
    </row>
    <row r="15" spans="1:21" x14ac:dyDescent="0.2">
      <c r="A15" s="5" t="s">
        <v>14</v>
      </c>
      <c r="B15" s="2">
        <v>2</v>
      </c>
      <c r="C15" s="1" t="s">
        <v>20</v>
      </c>
      <c r="D15" s="4">
        <v>1241292</v>
      </c>
      <c r="E15" s="32">
        <v>137.36199999999999</v>
      </c>
      <c r="F15">
        <v>3256.317</v>
      </c>
      <c r="G15" s="38">
        <v>38.593000000000004</v>
      </c>
      <c r="H15" s="43">
        <f t="shared" ref="H15:H19" si="12">E15+F15+G15</f>
        <v>3432.2719999999999</v>
      </c>
      <c r="I15" s="27">
        <f t="shared" ref="I15:I19" si="13">(H15/60)/D15*1000000</f>
        <v>46.08467091815087</v>
      </c>
    </row>
    <row r="16" spans="1:21" x14ac:dyDescent="0.2">
      <c r="A16" s="5" t="s">
        <v>15</v>
      </c>
      <c r="B16" s="2">
        <v>3</v>
      </c>
      <c r="C16" s="1" t="s">
        <v>20</v>
      </c>
      <c r="D16" s="4">
        <v>2874064</v>
      </c>
      <c r="E16" s="32">
        <v>187.96</v>
      </c>
      <c r="F16">
        <v>4354.223</v>
      </c>
      <c r="G16" s="38">
        <v>91.346000000000004</v>
      </c>
      <c r="H16" s="43">
        <f t="shared" si="12"/>
        <v>4633.5290000000005</v>
      </c>
      <c r="I16" s="27">
        <f>(H16/60)/D16*1000000</f>
        <v>26.869785548732853</v>
      </c>
    </row>
    <row r="17" spans="1:10" x14ac:dyDescent="0.2">
      <c r="A17" s="5" t="s">
        <v>16</v>
      </c>
      <c r="B17" s="2">
        <v>1</v>
      </c>
      <c r="C17" s="1" t="s">
        <v>21</v>
      </c>
      <c r="D17" s="4">
        <v>1393116</v>
      </c>
      <c r="E17" s="32">
        <v>128.63900000000001</v>
      </c>
      <c r="F17">
        <v>4285.3530000000001</v>
      </c>
      <c r="G17" s="38">
        <v>61.585999999999999</v>
      </c>
      <c r="H17" s="43">
        <f t="shared" si="12"/>
        <v>4475.5780000000004</v>
      </c>
      <c r="I17" s="27">
        <f t="shared" si="13"/>
        <v>53.543973844724107</v>
      </c>
    </row>
    <row r="18" spans="1:10" x14ac:dyDescent="0.2">
      <c r="A18" s="5" t="s">
        <v>17</v>
      </c>
      <c r="B18" s="2">
        <v>2</v>
      </c>
      <c r="C18" s="1" t="s">
        <v>21</v>
      </c>
      <c r="D18" s="4">
        <v>3385387</v>
      </c>
      <c r="E18" s="32">
        <v>161.41399999999999</v>
      </c>
      <c r="F18">
        <v>3650.2660000000001</v>
      </c>
      <c r="G18" s="38">
        <v>39.314999999999998</v>
      </c>
      <c r="H18" s="43">
        <f t="shared" si="12"/>
        <v>3850.9950000000003</v>
      </c>
      <c r="I18" s="27">
        <f t="shared" si="13"/>
        <v>18.958910753777928</v>
      </c>
    </row>
    <row r="19" spans="1:10" x14ac:dyDescent="0.2">
      <c r="A19" s="9" t="s">
        <v>18</v>
      </c>
      <c r="B19" s="10">
        <v>3</v>
      </c>
      <c r="C19" s="11" t="s">
        <v>21</v>
      </c>
      <c r="D19" s="12">
        <v>3217619</v>
      </c>
      <c r="E19" s="35">
        <v>186.86099999999999</v>
      </c>
      <c r="F19" s="9">
        <v>4934.5069999999996</v>
      </c>
      <c r="G19" s="39">
        <v>106.43600000000001</v>
      </c>
      <c r="H19" s="44">
        <f t="shared" si="12"/>
        <v>5227.8039999999992</v>
      </c>
      <c r="I19" s="40">
        <f t="shared" si="13"/>
        <v>27.079050274960039</v>
      </c>
      <c r="J19" s="27"/>
    </row>
    <row r="20" spans="1:10" x14ac:dyDescent="0.2">
      <c r="A20" s="14"/>
      <c r="B20" s="14"/>
      <c r="C20" s="14" t="s">
        <v>11</v>
      </c>
      <c r="D20" s="18"/>
      <c r="E20" s="32"/>
      <c r="H20" s="32"/>
      <c r="I20" s="27">
        <f>AVERAGE(I14:I19)</f>
        <v>35.439688706697922</v>
      </c>
      <c r="J20" s="27"/>
    </row>
    <row r="21" spans="1:10" x14ac:dyDescent="0.2">
      <c r="A21" s="9"/>
      <c r="B21" s="9"/>
      <c r="C21" s="9" t="s">
        <v>12</v>
      </c>
      <c r="D21" s="19"/>
      <c r="E21" s="35"/>
      <c r="F21" s="9"/>
      <c r="G21" s="9"/>
      <c r="H21" s="35"/>
      <c r="I21" s="40">
        <f>STDEV(I14:I19)</f>
        <v>13.249717539248222</v>
      </c>
      <c r="J21" s="27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0007-93D5-6D4A-BA06-891B98C73FB0}">
  <dimension ref="A1:J31"/>
  <sheetViews>
    <sheetView tabSelected="1" workbookViewId="0">
      <selection activeCell="E20" sqref="E20"/>
    </sheetView>
  </sheetViews>
  <sheetFormatPr baseColWidth="10" defaultRowHeight="16" x14ac:dyDescent="0.2"/>
  <cols>
    <col min="1" max="1" width="31.33203125" customWidth="1"/>
    <col min="2" max="2" width="16.6640625" customWidth="1"/>
    <col min="3" max="3" width="19.6640625" customWidth="1"/>
    <col min="4" max="5" width="16.6640625" customWidth="1"/>
    <col min="6" max="6" width="19.6640625" customWidth="1"/>
    <col min="7" max="8" width="16.6640625" customWidth="1"/>
    <col min="9" max="9" width="19.6640625" customWidth="1"/>
    <col min="10" max="10" width="16.6640625" customWidth="1"/>
  </cols>
  <sheetData>
    <row r="1" spans="1:10" s="47" customFormat="1" x14ac:dyDescent="0.2">
      <c r="A1" s="49"/>
      <c r="B1" s="50" t="s">
        <v>52</v>
      </c>
      <c r="C1" s="50"/>
      <c r="D1" s="50"/>
      <c r="E1" s="50" t="s">
        <v>56</v>
      </c>
      <c r="F1" s="50"/>
      <c r="G1" s="50"/>
      <c r="H1" s="50" t="s">
        <v>57</v>
      </c>
      <c r="I1" s="50"/>
      <c r="J1" s="50"/>
    </row>
    <row r="2" spans="1:10" s="47" customFormat="1" x14ac:dyDescent="0.2">
      <c r="A2" s="48" t="s">
        <v>0</v>
      </c>
      <c r="B2" s="48" t="s">
        <v>53</v>
      </c>
      <c r="C2" s="48" t="s">
        <v>54</v>
      </c>
      <c r="D2" s="48" t="s">
        <v>55</v>
      </c>
      <c r="E2" s="48" t="s">
        <v>53</v>
      </c>
      <c r="F2" s="48" t="s">
        <v>54</v>
      </c>
      <c r="G2" s="48" t="s">
        <v>55</v>
      </c>
      <c r="H2" s="48" t="s">
        <v>53</v>
      </c>
      <c r="I2" s="48" t="s">
        <v>54</v>
      </c>
      <c r="J2" s="48" t="s">
        <v>55</v>
      </c>
    </row>
    <row r="3" spans="1:10" x14ac:dyDescent="0.2">
      <c r="A3" s="5" t="s">
        <v>13</v>
      </c>
      <c r="B3" s="4">
        <v>312479</v>
      </c>
      <c r="C3" s="4">
        <v>83764</v>
      </c>
      <c r="D3" s="4">
        <v>8905</v>
      </c>
      <c r="E3" s="4">
        <v>307303</v>
      </c>
      <c r="F3" s="4">
        <v>88179</v>
      </c>
      <c r="G3" s="4">
        <v>11629</v>
      </c>
      <c r="H3" s="4">
        <v>313381</v>
      </c>
      <c r="I3" s="4">
        <v>82155</v>
      </c>
      <c r="J3" s="4">
        <v>8421</v>
      </c>
    </row>
    <row r="4" spans="1:10" x14ac:dyDescent="0.2">
      <c r="A4" s="5" t="s">
        <v>14</v>
      </c>
      <c r="B4" s="4">
        <v>190526</v>
      </c>
      <c r="C4" s="4">
        <v>51839</v>
      </c>
      <c r="D4" s="4">
        <v>6165</v>
      </c>
      <c r="E4" s="4">
        <v>186914</v>
      </c>
      <c r="F4" s="4">
        <v>56471</v>
      </c>
      <c r="G4" s="4">
        <v>8785</v>
      </c>
      <c r="H4" s="4">
        <v>190790</v>
      </c>
      <c r="I4" s="4">
        <v>52846</v>
      </c>
      <c r="J4" s="4">
        <v>5862</v>
      </c>
    </row>
    <row r="5" spans="1:10" x14ac:dyDescent="0.2">
      <c r="A5" s="5" t="s">
        <v>15</v>
      </c>
      <c r="B5" s="4">
        <v>417301</v>
      </c>
      <c r="C5" s="4">
        <v>121777</v>
      </c>
      <c r="D5" s="4">
        <v>16492</v>
      </c>
      <c r="E5" s="4">
        <v>394820</v>
      </c>
      <c r="F5" s="4">
        <v>133178</v>
      </c>
      <c r="G5" s="4">
        <v>24321</v>
      </c>
      <c r="H5" s="4">
        <v>408468</v>
      </c>
      <c r="I5" s="4">
        <v>121122</v>
      </c>
      <c r="J5" s="4">
        <v>14346</v>
      </c>
    </row>
    <row r="6" spans="1:10" x14ac:dyDescent="0.2">
      <c r="A6" s="5" t="s">
        <v>16</v>
      </c>
      <c r="B6" s="4">
        <v>213482</v>
      </c>
      <c r="C6" s="4">
        <v>54510</v>
      </c>
      <c r="D6" s="4">
        <v>6365</v>
      </c>
      <c r="E6" s="4">
        <v>213660</v>
      </c>
      <c r="F6" s="4">
        <v>55070</v>
      </c>
      <c r="G6" s="4">
        <v>6747</v>
      </c>
      <c r="H6" s="4">
        <v>215521</v>
      </c>
      <c r="I6" s="4">
        <v>52957</v>
      </c>
      <c r="J6" s="4">
        <v>5668</v>
      </c>
    </row>
    <row r="7" spans="1:10" x14ac:dyDescent="0.2">
      <c r="A7" s="5" t="s">
        <v>17</v>
      </c>
      <c r="B7" s="4">
        <v>530096</v>
      </c>
      <c r="C7" s="4">
        <v>144757</v>
      </c>
      <c r="D7" s="4">
        <v>15901</v>
      </c>
      <c r="E7" s="4">
        <v>529619</v>
      </c>
      <c r="F7" s="4">
        <v>158411</v>
      </c>
      <c r="G7" s="4">
        <v>19795</v>
      </c>
      <c r="H7" s="4">
        <v>529582</v>
      </c>
      <c r="I7" s="4">
        <v>142118</v>
      </c>
      <c r="J7" s="4">
        <v>14503</v>
      </c>
    </row>
    <row r="8" spans="1:10" x14ac:dyDescent="0.2">
      <c r="A8" s="9" t="s">
        <v>18</v>
      </c>
      <c r="B8" s="4">
        <v>492900</v>
      </c>
      <c r="C8" s="4">
        <v>133893</v>
      </c>
      <c r="D8" s="4">
        <v>14739</v>
      </c>
      <c r="E8" s="4">
        <v>492383</v>
      </c>
      <c r="F8" s="4">
        <v>147053</v>
      </c>
      <c r="G8" s="4">
        <v>21723</v>
      </c>
      <c r="H8" s="4">
        <v>504366</v>
      </c>
      <c r="I8" s="4">
        <v>134791</v>
      </c>
      <c r="J8" s="4">
        <v>13693</v>
      </c>
    </row>
    <row r="9" spans="1:10" x14ac:dyDescent="0.2">
      <c r="A9" s="14"/>
      <c r="B9" s="14"/>
      <c r="C9" s="14"/>
      <c r="D9" s="14"/>
      <c r="E9" s="14"/>
      <c r="F9" s="14"/>
      <c r="G9" s="14"/>
      <c r="H9" s="14"/>
      <c r="I9" s="14"/>
      <c r="J9" s="14"/>
    </row>
    <row r="11" spans="1:10" x14ac:dyDescent="0.2">
      <c r="A11" t="s">
        <v>58</v>
      </c>
    </row>
    <row r="12" spans="1:10" x14ac:dyDescent="0.2">
      <c r="A12" s="48" t="s">
        <v>0</v>
      </c>
      <c r="B12" s="9" t="s">
        <v>52</v>
      </c>
      <c r="C12" s="9" t="s">
        <v>56</v>
      </c>
      <c r="D12" s="9" t="s">
        <v>57</v>
      </c>
    </row>
    <row r="13" spans="1:10" x14ac:dyDescent="0.2">
      <c r="A13" s="5" t="s">
        <v>13</v>
      </c>
      <c r="B13" s="51">
        <f>C3/(B3+C3+D3)</f>
        <v>0.20674913858639313</v>
      </c>
      <c r="C13" s="51">
        <f>F3/(E3+F3+G3)</f>
        <v>0.21659694776117569</v>
      </c>
      <c r="D13" s="51">
        <f>I3/(H3+I3+J3)</f>
        <v>0.20337560680963568</v>
      </c>
    </row>
    <row r="14" spans="1:10" x14ac:dyDescent="0.2">
      <c r="A14" s="5" t="s">
        <v>14</v>
      </c>
      <c r="B14" s="51">
        <f t="shared" ref="B14:B18" si="0">C4/(B4+C4+D4)</f>
        <v>0.20858246489357421</v>
      </c>
      <c r="C14" s="51">
        <f t="shared" ref="C14:C18" si="1">F4/(E4+F4+G4)</f>
        <v>0.22394019907205456</v>
      </c>
      <c r="D14" s="51">
        <f t="shared" ref="D14:D18" si="2">I4/(H4+I4+J4)</f>
        <v>0.21180931310070622</v>
      </c>
    </row>
    <row r="15" spans="1:10" x14ac:dyDescent="0.2">
      <c r="A15" s="5" t="s">
        <v>15</v>
      </c>
      <c r="B15" s="51">
        <f t="shared" si="0"/>
        <v>0.21919290098457439</v>
      </c>
      <c r="C15" s="51">
        <f t="shared" si="1"/>
        <v>0.24112514688069756</v>
      </c>
      <c r="D15" s="51">
        <f t="shared" si="2"/>
        <v>0.22267693258030358</v>
      </c>
    </row>
    <row r="16" spans="1:10" x14ac:dyDescent="0.2">
      <c r="A16" s="5" t="s">
        <v>16</v>
      </c>
      <c r="B16" s="51">
        <f t="shared" si="0"/>
        <v>0.19868273818419066</v>
      </c>
      <c r="C16" s="51">
        <f t="shared" si="1"/>
        <v>0.19990779629515348</v>
      </c>
      <c r="D16" s="51">
        <f t="shared" si="2"/>
        <v>0.19317079220561306</v>
      </c>
    </row>
    <row r="17" spans="1:4" x14ac:dyDescent="0.2">
      <c r="A17" s="5" t="s">
        <v>17</v>
      </c>
      <c r="B17" s="51">
        <f t="shared" si="0"/>
        <v>0.20956375207382077</v>
      </c>
      <c r="C17" s="51">
        <f t="shared" si="1"/>
        <v>0.22379966799703316</v>
      </c>
      <c r="D17" s="51">
        <f t="shared" si="2"/>
        <v>0.20710780920514774</v>
      </c>
    </row>
    <row r="18" spans="1:4" x14ac:dyDescent="0.2">
      <c r="A18" s="9" t="s">
        <v>18</v>
      </c>
      <c r="B18" s="52">
        <f t="shared" si="0"/>
        <v>0.20870821720506538</v>
      </c>
      <c r="C18" s="52">
        <f t="shared" si="1"/>
        <v>0.22241699802921838</v>
      </c>
      <c r="D18" s="52">
        <f t="shared" si="2"/>
        <v>0.20646549743432641</v>
      </c>
    </row>
    <row r="19" spans="1:4" x14ac:dyDescent="0.2">
      <c r="B19" s="53">
        <f>AVERAGE(B13:B18)</f>
        <v>0.2085798686546031</v>
      </c>
      <c r="C19" s="53">
        <f t="shared" ref="C19:D19" si="3">AVERAGE(C13:C18)</f>
        <v>0.22129779267255545</v>
      </c>
      <c r="D19" s="53">
        <f t="shared" si="3"/>
        <v>0.20743432522262215</v>
      </c>
    </row>
    <row r="20" spans="1:4" x14ac:dyDescent="0.2">
      <c r="A20" s="9"/>
      <c r="B20" s="54">
        <f>STDEV(B13:B18)</f>
        <v>6.5563057592138629E-3</v>
      </c>
      <c r="C20" s="54">
        <f t="shared" ref="C20:D20" si="4">STDEV(C13:C18)</f>
        <v>1.3321022296738129E-2</v>
      </c>
      <c r="D20" s="54">
        <f t="shared" si="4"/>
        <v>9.7205391544923237E-3</v>
      </c>
    </row>
    <row r="22" spans="1:4" x14ac:dyDescent="0.2">
      <c r="A22" t="s">
        <v>59</v>
      </c>
    </row>
    <row r="23" spans="1:4" x14ac:dyDescent="0.2">
      <c r="A23" s="48" t="s">
        <v>0</v>
      </c>
      <c r="B23" s="9" t="s">
        <v>52</v>
      </c>
      <c r="C23" s="9" t="s">
        <v>56</v>
      </c>
      <c r="D23" s="9" t="s">
        <v>57</v>
      </c>
    </row>
    <row r="24" spans="1:4" x14ac:dyDescent="0.2">
      <c r="A24" s="5" t="s">
        <v>13</v>
      </c>
      <c r="B24" s="51">
        <f>C3/(C3+D3)</f>
        <v>0.9039052973486279</v>
      </c>
      <c r="C24" s="51">
        <f>F3/(F3+G3)</f>
        <v>0.88348629368387299</v>
      </c>
      <c r="D24" s="51">
        <f>I3/(I3+J3)</f>
        <v>0.90702835188129305</v>
      </c>
    </row>
    <row r="25" spans="1:4" x14ac:dyDescent="0.2">
      <c r="A25" s="5" t="s">
        <v>14</v>
      </c>
      <c r="B25" s="51">
        <f t="shared" ref="B25:B29" si="5">C4/(C4+D4)</f>
        <v>0.89371422660506172</v>
      </c>
      <c r="C25" s="51">
        <f t="shared" ref="C25:C29" si="6">F4/(F4+G4)</f>
        <v>0.86537636385926198</v>
      </c>
      <c r="D25" s="51">
        <f t="shared" ref="D25:D29" si="7">I4/(I4+J4)</f>
        <v>0.90014989439258708</v>
      </c>
    </row>
    <row r="26" spans="1:4" x14ac:dyDescent="0.2">
      <c r="A26" s="5" t="s">
        <v>15</v>
      </c>
      <c r="B26" s="51">
        <f t="shared" si="5"/>
        <v>0.88072525294896176</v>
      </c>
      <c r="C26" s="51">
        <f t="shared" si="6"/>
        <v>0.84557997193632972</v>
      </c>
      <c r="D26" s="51">
        <f t="shared" si="7"/>
        <v>0.89410045176720698</v>
      </c>
    </row>
    <row r="27" spans="1:4" x14ac:dyDescent="0.2">
      <c r="A27" s="5" t="s">
        <v>16</v>
      </c>
      <c r="B27" s="51">
        <f t="shared" si="5"/>
        <v>0.89544147843942501</v>
      </c>
      <c r="C27" s="51">
        <f t="shared" si="6"/>
        <v>0.89085526635068024</v>
      </c>
      <c r="D27" s="51">
        <f t="shared" si="7"/>
        <v>0.90331769722814503</v>
      </c>
    </row>
    <row r="28" spans="1:4" x14ac:dyDescent="0.2">
      <c r="A28" s="5" t="s">
        <v>17</v>
      </c>
      <c r="B28" s="51">
        <f t="shared" si="5"/>
        <v>0.9010257814736895</v>
      </c>
      <c r="C28" s="51">
        <f t="shared" si="6"/>
        <v>0.88892068729447937</v>
      </c>
      <c r="D28" s="51">
        <f t="shared" si="7"/>
        <v>0.90740066785424689</v>
      </c>
    </row>
    <row r="29" spans="1:4" x14ac:dyDescent="0.2">
      <c r="A29" s="9" t="s">
        <v>18</v>
      </c>
      <c r="B29" s="52">
        <f t="shared" si="5"/>
        <v>0.90083562086226387</v>
      </c>
      <c r="C29" s="52">
        <f t="shared" si="6"/>
        <v>0.87129094184007205</v>
      </c>
      <c r="D29" s="52">
        <f t="shared" si="7"/>
        <v>0.90778130977074967</v>
      </c>
    </row>
    <row r="30" spans="1:4" x14ac:dyDescent="0.2">
      <c r="B30" s="53">
        <f>AVERAGE(B24:B29)</f>
        <v>0.89594127627967168</v>
      </c>
      <c r="C30" s="53">
        <f t="shared" ref="C30" si="8">AVERAGE(C24:C29)</f>
        <v>0.87425158749411613</v>
      </c>
      <c r="D30" s="53">
        <f t="shared" ref="D30" si="9">AVERAGE(D24:D29)</f>
        <v>0.90329639548237139</v>
      </c>
    </row>
    <row r="31" spans="1:4" x14ac:dyDescent="0.2">
      <c r="A31" s="9"/>
      <c r="B31" s="54">
        <f>STDEV(B24:B29)</f>
        <v>8.3662338920559316E-3</v>
      </c>
      <c r="C31" s="54">
        <f t="shared" ref="C31:D31" si="10">STDEV(C24:C29)</f>
        <v>1.7237987091810042E-2</v>
      </c>
      <c r="D31" s="54">
        <f t="shared" si="10"/>
        <v>5.3917216197602617E-3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Trimmomatic</vt:lpstr>
      <vt:lpstr>HISAT2</vt:lpstr>
      <vt:lpstr>STAR</vt:lpstr>
      <vt:lpstr>EAGLE-RC</vt:lpstr>
      <vt:lpstr>Overlap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2021-02-07T03:14:58Z</dcterms:modified>
</cp:coreProperties>
</file>