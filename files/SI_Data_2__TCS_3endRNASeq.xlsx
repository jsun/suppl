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un/Google Drive/projects/HuoberBrezel/files/"/>
    </mc:Choice>
  </mc:AlternateContent>
  <xr:revisionPtr revIDLastSave="0" documentId="13_ncr:1_{3EE2CB7A-9A48-B940-B2A6-2653A3B1FDF1}" xr6:coauthVersionLast="45" xr6:coauthVersionMax="45" xr10:uidLastSave="{00000000-0000-0000-0000-000000000000}"/>
  <bookViews>
    <workbookView xWindow="0" yWindow="460" windowWidth="28800" windowHeight="16540" activeTab="3" xr2:uid="{0A1B866E-BAB2-5B48-9BA1-056163FF4A88}"/>
  </bookViews>
  <sheets>
    <sheet name="Trimmomatic" sheetId="1" r:id="rId1"/>
    <sheet name="HISAT2" sheetId="2" r:id="rId2"/>
    <sheet name="STAR" sheetId="4" r:id="rId3"/>
    <sheet name="EAGLE-RC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2" l="1"/>
  <c r="S4" i="2"/>
  <c r="R7" i="4"/>
  <c r="Q7" i="4"/>
  <c r="Q6" i="4"/>
  <c r="R6" i="4" s="1"/>
  <c r="Q5" i="4"/>
  <c r="R5" i="4" s="1"/>
  <c r="Q4" i="4"/>
  <c r="R4" i="4" s="1"/>
  <c r="Q3" i="4"/>
  <c r="R3" i="4" s="1"/>
  <c r="Q2" i="4"/>
  <c r="R2" i="4" s="1"/>
  <c r="Q7" i="2"/>
  <c r="R7" i="2" s="1"/>
  <c r="Q6" i="2"/>
  <c r="R6" i="2" s="1"/>
  <c r="Q5" i="2"/>
  <c r="R5" i="2" s="1"/>
  <c r="Q4" i="2"/>
  <c r="R4" i="2" s="1"/>
  <c r="Q3" i="2"/>
  <c r="R3" i="2" s="1"/>
  <c r="Q2" i="2"/>
  <c r="R2" i="2" s="1"/>
  <c r="S2" i="4" l="1"/>
  <c r="H15" i="3"/>
  <c r="H16" i="3"/>
  <c r="H17" i="3"/>
  <c r="H18" i="3"/>
  <c r="H19" i="3"/>
  <c r="H14" i="3"/>
  <c r="G3" i="3"/>
  <c r="M2" i="3"/>
  <c r="M3" i="3"/>
  <c r="M4" i="3"/>
  <c r="M5" i="3"/>
  <c r="M6" i="3"/>
  <c r="M7" i="3"/>
  <c r="E3" i="4"/>
  <c r="E4" i="4"/>
  <c r="E5" i="4"/>
  <c r="E6" i="4"/>
  <c r="E7" i="4"/>
  <c r="E2" i="4"/>
  <c r="H5" i="4"/>
  <c r="H6" i="4"/>
  <c r="G3" i="2"/>
  <c r="G4" i="2"/>
  <c r="G5" i="2"/>
  <c r="G6" i="2"/>
  <c r="G7" i="2"/>
  <c r="G2" i="2"/>
  <c r="S7" i="2"/>
  <c r="S6" i="2"/>
  <c r="S3" i="4"/>
  <c r="S4" i="4"/>
  <c r="S5" i="4"/>
  <c r="S6" i="4"/>
  <c r="S7" i="4"/>
  <c r="M3" i="4"/>
  <c r="M5" i="4"/>
  <c r="M7" i="4"/>
  <c r="N3" i="4"/>
  <c r="O3" i="4"/>
  <c r="M4" i="4"/>
  <c r="N4" i="4"/>
  <c r="O4" i="4"/>
  <c r="N5" i="4"/>
  <c r="O5" i="4"/>
  <c r="M6" i="4"/>
  <c r="N6" i="4"/>
  <c r="O6" i="4"/>
  <c r="N7" i="4"/>
  <c r="O7" i="4"/>
  <c r="M2" i="4"/>
  <c r="Q9" i="4"/>
  <c r="P9" i="4"/>
  <c r="Q8" i="4"/>
  <c r="P8" i="4"/>
  <c r="I7" i="4"/>
  <c r="H7" i="4"/>
  <c r="I6" i="4"/>
  <c r="I5" i="4"/>
  <c r="I4" i="4"/>
  <c r="H4" i="4"/>
  <c r="I3" i="4"/>
  <c r="H3" i="4"/>
  <c r="O2" i="4"/>
  <c r="N2" i="4"/>
  <c r="I2" i="4"/>
  <c r="H2" i="4"/>
  <c r="R9" i="4" l="1"/>
  <c r="H9" i="4"/>
  <c r="I8" i="4"/>
  <c r="M9" i="4"/>
  <c r="S9" i="4"/>
  <c r="N9" i="4"/>
  <c r="O9" i="4"/>
  <c r="M8" i="4"/>
  <c r="N8" i="4"/>
  <c r="I9" i="4"/>
  <c r="R8" i="4"/>
  <c r="H8" i="4"/>
  <c r="O8" i="4"/>
  <c r="S8" i="4"/>
  <c r="S3" i="2"/>
  <c r="S5" i="2"/>
  <c r="S2" i="2"/>
  <c r="T3" i="3"/>
  <c r="T4" i="3"/>
  <c r="T5" i="3"/>
  <c r="T6" i="3"/>
  <c r="T7" i="3"/>
  <c r="T2" i="3"/>
  <c r="T8" i="3" s="1"/>
  <c r="T9" i="3" l="1"/>
  <c r="S9" i="2"/>
  <c r="S8" i="2"/>
  <c r="I4" i="2" l="1"/>
  <c r="I5" i="2"/>
  <c r="I6" i="2"/>
  <c r="I7" i="2"/>
  <c r="I2" i="2"/>
  <c r="P8" i="2"/>
  <c r="P9" i="2"/>
  <c r="Q9" i="2"/>
  <c r="M3" i="2"/>
  <c r="N3" i="2"/>
  <c r="O3" i="2"/>
  <c r="M4" i="2"/>
  <c r="N4" i="2"/>
  <c r="O4" i="2"/>
  <c r="M5" i="2"/>
  <c r="N5" i="2"/>
  <c r="O5" i="2"/>
  <c r="M6" i="2"/>
  <c r="N6" i="2"/>
  <c r="O6" i="2"/>
  <c r="M7" i="2"/>
  <c r="N7" i="2"/>
  <c r="O7" i="2"/>
  <c r="O2" i="2"/>
  <c r="N2" i="2"/>
  <c r="M2" i="2"/>
  <c r="H7" i="2"/>
  <c r="H4" i="2"/>
  <c r="H5" i="2"/>
  <c r="H6" i="2"/>
  <c r="H3" i="2"/>
  <c r="H2" i="2"/>
  <c r="I8" i="2" l="1"/>
  <c r="H9" i="2"/>
  <c r="R9" i="2"/>
  <c r="I9" i="2"/>
  <c r="H8" i="2"/>
  <c r="R8" i="2"/>
  <c r="Q8" i="2"/>
  <c r="O8" i="2"/>
  <c r="N8" i="2"/>
  <c r="O9" i="2"/>
  <c r="N9" i="2"/>
  <c r="I15" i="3" l="1"/>
  <c r="I16" i="3"/>
  <c r="I17" i="3"/>
  <c r="I18" i="3"/>
  <c r="I19" i="3"/>
  <c r="I14" i="3"/>
  <c r="J3" i="3"/>
  <c r="J4" i="3"/>
  <c r="J5" i="3"/>
  <c r="J6" i="3"/>
  <c r="J7" i="3"/>
  <c r="J2" i="3"/>
  <c r="G4" i="3"/>
  <c r="G5" i="3"/>
  <c r="G6" i="3"/>
  <c r="G7" i="3"/>
  <c r="G2" i="3"/>
  <c r="S7" i="3"/>
  <c r="R7" i="3"/>
  <c r="Q7" i="3"/>
  <c r="S6" i="3"/>
  <c r="R6" i="3"/>
  <c r="Q6" i="3"/>
  <c r="S5" i="3"/>
  <c r="R5" i="3"/>
  <c r="Q5" i="3"/>
  <c r="S4" i="3"/>
  <c r="R4" i="3"/>
  <c r="Q4" i="3"/>
  <c r="S3" i="3"/>
  <c r="R3" i="3"/>
  <c r="Q3" i="3"/>
  <c r="S2" i="3"/>
  <c r="R2" i="3"/>
  <c r="Q2" i="3"/>
  <c r="S8" i="3" l="1"/>
  <c r="Q9" i="3"/>
  <c r="R8" i="3"/>
  <c r="R9" i="3"/>
  <c r="I21" i="3"/>
  <c r="S9" i="3"/>
  <c r="Q8" i="3"/>
  <c r="I20" i="3"/>
  <c r="E8" i="1" l="1"/>
  <c r="E9" i="1"/>
  <c r="D9" i="1"/>
  <c r="D8" i="1"/>
  <c r="F3" i="1"/>
  <c r="F4" i="1"/>
  <c r="F5" i="1"/>
  <c r="F6" i="1"/>
  <c r="F7" i="1"/>
  <c r="F2" i="1"/>
  <c r="F8" i="1" s="1"/>
  <c r="F9" i="1" l="1"/>
  <c r="M9" i="2"/>
  <c r="M8" i="2"/>
</calcChain>
</file>

<file path=xl/sharedStrings.xml><?xml version="1.0" encoding="utf-8"?>
<sst xmlns="http://schemas.openxmlformats.org/spreadsheetml/2006/main" count="120" uniqueCount="49">
  <si>
    <t>library name</t>
  </si>
  <si>
    <t>replicate</t>
  </si>
  <si>
    <t>sampling date</t>
  </si>
  <si>
    <t>#reads in FASTQ</t>
  </si>
  <si>
    <t>#reads after QC</t>
  </si>
  <si>
    <t>TaeRS2728_g086</t>
  </si>
  <si>
    <t>TaeRS2728_g160</t>
  </si>
  <si>
    <t>TaeRS2728_g167</t>
  </si>
  <si>
    <t>TaeRS2728_g091</t>
  </si>
  <si>
    <t>TaeRS2728_g165</t>
  </si>
  <si>
    <t>TaeRS2728_g172</t>
  </si>
  <si>
    <t>input</t>
  </si>
  <si>
    <t>uniquely mapped on A</t>
  </si>
  <si>
    <t>uniquely mapped on B</t>
  </si>
  <si>
    <t>uniquely mapped on D</t>
  </si>
  <si>
    <t>uniquely mapped</t>
  </si>
  <si>
    <t>E/D</t>
  </si>
  <si>
    <t>average</t>
  </si>
  <si>
    <t>s.d</t>
  </si>
  <si>
    <t>* F: percentage of reads that uniquely mapped on one of A, B, D subgenomes.</t>
  </si>
  <si>
    <t>%A</t>
  </si>
  <si>
    <t>%B</t>
  </si>
  <si>
    <t>%D</t>
  </si>
  <si>
    <t>multi-loci on A</t>
  </si>
  <si>
    <t>unmapped on A</t>
  </si>
  <si>
    <t>multi-loci on B</t>
  </si>
  <si>
    <t>unmapped on B</t>
  </si>
  <si>
    <t>multi-loci on D</t>
  </si>
  <si>
    <t>unmapped on D</t>
  </si>
  <si>
    <t>A reads</t>
  </si>
  <si>
    <t>B reads</t>
  </si>
  <si>
    <t>D reads</t>
  </si>
  <si>
    <t>Execution time</t>
  </si>
  <si>
    <t>total time</t>
  </si>
  <si>
    <t>time [min/1M reads]</t>
  </si>
  <si>
    <t>unmapped</t>
  </si>
  <si>
    <t>multi-mapped</t>
  </si>
  <si>
    <t>F / (F+G)</t>
  </si>
  <si>
    <t>time</t>
  </si>
  <si>
    <t>time [sec/1M reads]</t>
  </si>
  <si>
    <t>sampling_date</t>
  </si>
  <si>
    <t>%F</t>
  </si>
  <si>
    <t>% homeologs</t>
  </si>
  <si>
    <t>% homeolog reads</t>
  </si>
  <si>
    <t>* percentage of input reads that classified as A, B, D-origin</t>
  </si>
  <si>
    <t>single-end 150 bp</t>
  </si>
  <si>
    <t>STAR step</t>
  </si>
  <si>
    <t>EAGLE step</t>
  </si>
  <si>
    <t>EAGLE-RC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</si>
</sst>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  <numFmt numFmtId="165" formatCode="_(* #,##0.00_);_(* \(#,##0.00\);_(* &quot;-&quot;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2" applyNumberFormat="1" applyFont="1"/>
    <xf numFmtId="41" fontId="0" fillId="0" borderId="0" xfId="1" applyFont="1"/>
    <xf numFmtId="0" fontId="0" fillId="0" borderId="0" xfId="0" applyBorder="1"/>
    <xf numFmtId="0" fontId="0" fillId="0" borderId="0" xfId="0" applyNumberFormat="1" applyBorder="1"/>
    <xf numFmtId="14" fontId="0" fillId="0" borderId="0" xfId="0" applyNumberFormat="1" applyBorder="1"/>
    <xf numFmtId="41" fontId="0" fillId="0" borderId="0" xfId="1" applyFont="1" applyBorder="1"/>
    <xf numFmtId="10" fontId="0" fillId="0" borderId="0" xfId="2" applyNumberFormat="1" applyFont="1" applyBorder="1"/>
    <xf numFmtId="0" fontId="0" fillId="0" borderId="1" xfId="0" applyBorder="1"/>
    <xf numFmtId="0" fontId="0" fillId="0" borderId="1" xfId="0" applyNumberFormat="1" applyBorder="1"/>
    <xf numFmtId="14" fontId="0" fillId="0" borderId="1" xfId="0" applyNumberFormat="1" applyBorder="1"/>
    <xf numFmtId="41" fontId="0" fillId="0" borderId="1" xfId="1" applyFont="1" applyBorder="1"/>
    <xf numFmtId="10" fontId="0" fillId="0" borderId="1" xfId="2" applyNumberFormat="1" applyFont="1" applyBorder="1"/>
    <xf numFmtId="0" fontId="0" fillId="0" borderId="2" xfId="0" applyBorder="1"/>
    <xf numFmtId="0" fontId="0" fillId="0" borderId="2" xfId="0" applyNumberFormat="1" applyBorder="1"/>
    <xf numFmtId="14" fontId="0" fillId="0" borderId="2" xfId="0" applyNumberFormat="1" applyBorder="1"/>
    <xf numFmtId="41" fontId="0" fillId="0" borderId="2" xfId="1" applyFont="1" applyBorder="1"/>
    <xf numFmtId="10" fontId="0" fillId="0" borderId="2" xfId="2" applyNumberFormat="1" applyFont="1" applyBorder="1"/>
    <xf numFmtId="164" fontId="0" fillId="0" borderId="2" xfId="1" applyNumberFormat="1" applyFont="1" applyBorder="1"/>
    <xf numFmtId="164" fontId="0" fillId="0" borderId="1" xfId="1" applyNumberFormat="1" applyFont="1" applyBorder="1"/>
    <xf numFmtId="164" fontId="0" fillId="0" borderId="0" xfId="1" applyNumberFormat="1" applyFont="1"/>
    <xf numFmtId="165" fontId="0" fillId="0" borderId="1" xfId="1" applyNumberFormat="1" applyFont="1" applyBorder="1"/>
    <xf numFmtId="43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0" fillId="0" borderId="5" xfId="1" applyFont="1" applyBorder="1"/>
    <xf numFmtId="41" fontId="0" fillId="0" borderId="6" xfId="1" applyFont="1" applyBorder="1"/>
    <xf numFmtId="41" fontId="0" fillId="0" borderId="3" xfId="1" applyFont="1" applyBorder="1"/>
    <xf numFmtId="41" fontId="0" fillId="0" borderId="4" xfId="1" applyFont="1" applyBorder="1"/>
    <xf numFmtId="0" fontId="0" fillId="0" borderId="5" xfId="0" applyBorder="1"/>
    <xf numFmtId="0" fontId="0" fillId="0" borderId="6" xfId="0" applyBorder="1"/>
    <xf numFmtId="10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0" fillId="0" borderId="0" xfId="0" applyAlignment="1">
      <alignment horizontal="center" vertical="center"/>
    </xf>
    <xf numFmtId="43" fontId="0" fillId="0" borderId="1" xfId="0" applyNumberFormat="1" applyBorder="1"/>
    <xf numFmtId="165" fontId="0" fillId="0" borderId="2" xfId="1" applyNumberFormat="1" applyFont="1" applyBorder="1"/>
    <xf numFmtId="165" fontId="0" fillId="0" borderId="0" xfId="0" applyNumberFormat="1"/>
    <xf numFmtId="0" fontId="0" fillId="0" borderId="1" xfId="0" applyFill="1" applyBorder="1" applyAlignment="1">
      <alignment horizontal="center" vertical="center"/>
    </xf>
    <xf numFmtId="10" fontId="0" fillId="0" borderId="0" xfId="0" applyNumberFormat="1"/>
    <xf numFmtId="41" fontId="0" fillId="0" borderId="0" xfId="0" applyNumberFormat="1"/>
    <xf numFmtId="41" fontId="0" fillId="0" borderId="0" xfId="1" applyFont="1" applyAlignment="1">
      <alignment horizontal="center" vertical="center"/>
    </xf>
    <xf numFmtId="41" fontId="0" fillId="0" borderId="7" xfId="1" applyFont="1" applyBorder="1"/>
    <xf numFmtId="2" fontId="0" fillId="0" borderId="5" xfId="0" applyNumberFormat="1" applyBorder="1"/>
    <xf numFmtId="2" fontId="0" fillId="0" borderId="3" xfId="0" applyNumberFormat="1" applyBorder="1"/>
    <xf numFmtId="0" fontId="3" fillId="0" borderId="5" xfId="0" applyFont="1" applyBorder="1"/>
    <xf numFmtId="0" fontId="3" fillId="0" borderId="0" xfId="0" applyFont="1"/>
    <xf numFmtId="0" fontId="3" fillId="0" borderId="3" xfId="0" applyFont="1" applyBorder="1"/>
    <xf numFmtId="0" fontId="3" fillId="0" borderId="1" xfId="0" applyFont="1" applyBorder="1"/>
    <xf numFmtId="2" fontId="0" fillId="0" borderId="0" xfId="0" applyNumberFormat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027D-97EE-8C45-84CC-12021653609C}">
  <dimension ref="A1:F9"/>
  <sheetViews>
    <sheetView workbookViewId="0">
      <selection activeCell="F9" sqref="F9"/>
    </sheetView>
  </sheetViews>
  <sheetFormatPr baseColWidth="10" defaultRowHeight="16" x14ac:dyDescent="0.2"/>
  <cols>
    <col min="1" max="1" width="16.83203125" customWidth="1"/>
    <col min="2" max="2" width="9.33203125" customWidth="1"/>
    <col min="3" max="3" width="14.83203125" customWidth="1"/>
    <col min="4" max="5" width="17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</row>
    <row r="2" spans="1:6" x14ac:dyDescent="0.2">
      <c r="A2" s="15" t="s">
        <v>5</v>
      </c>
      <c r="B2" s="16">
        <v>1</v>
      </c>
      <c r="C2" s="17">
        <v>43434</v>
      </c>
      <c r="D2" s="18">
        <v>3084269</v>
      </c>
      <c r="E2" s="18">
        <v>2616170</v>
      </c>
      <c r="F2" s="19">
        <f>E2/D2</f>
        <v>0.84823016410047247</v>
      </c>
    </row>
    <row r="3" spans="1:6" x14ac:dyDescent="0.2">
      <c r="A3" s="5" t="s">
        <v>6</v>
      </c>
      <c r="B3" s="6">
        <v>2</v>
      </c>
      <c r="C3" s="7">
        <v>43434</v>
      </c>
      <c r="D3" s="8">
        <v>2552726</v>
      </c>
      <c r="E3" s="8">
        <v>2116056</v>
      </c>
      <c r="F3" s="9">
        <f t="shared" ref="F3:F7" si="0">E3/D3</f>
        <v>0.82893972952835515</v>
      </c>
    </row>
    <row r="4" spans="1:6" x14ac:dyDescent="0.2">
      <c r="A4" s="5" t="s">
        <v>7</v>
      </c>
      <c r="B4" s="6">
        <v>3</v>
      </c>
      <c r="C4" s="7">
        <v>43434</v>
      </c>
      <c r="D4" s="8">
        <v>2978446</v>
      </c>
      <c r="E4" s="8">
        <v>2448737</v>
      </c>
      <c r="F4" s="9">
        <f t="shared" si="0"/>
        <v>0.82215255875043558</v>
      </c>
    </row>
    <row r="5" spans="1:6" x14ac:dyDescent="0.2">
      <c r="A5" s="5" t="s">
        <v>8</v>
      </c>
      <c r="B5" s="6">
        <v>1</v>
      </c>
      <c r="C5" s="7">
        <v>43581</v>
      </c>
      <c r="D5" s="8">
        <v>1768981</v>
      </c>
      <c r="E5" s="8">
        <v>1388788</v>
      </c>
      <c r="F5" s="9">
        <f t="shared" si="0"/>
        <v>0.78507796296285826</v>
      </c>
    </row>
    <row r="6" spans="1:6" x14ac:dyDescent="0.2">
      <c r="A6" s="5" t="s">
        <v>9</v>
      </c>
      <c r="B6" s="6">
        <v>2</v>
      </c>
      <c r="C6" s="7">
        <v>43581</v>
      </c>
      <c r="D6" s="8">
        <v>1911737</v>
      </c>
      <c r="E6" s="8">
        <v>1557764</v>
      </c>
      <c r="F6" s="9">
        <f t="shared" si="0"/>
        <v>0.81484220894401271</v>
      </c>
    </row>
    <row r="7" spans="1:6" x14ac:dyDescent="0.2">
      <c r="A7" s="10" t="s">
        <v>10</v>
      </c>
      <c r="B7" s="11">
        <v>3</v>
      </c>
      <c r="C7" s="12">
        <v>43581</v>
      </c>
      <c r="D7" s="13">
        <v>3421727</v>
      </c>
      <c r="E7" s="13">
        <v>2763351</v>
      </c>
      <c r="F7" s="14">
        <f t="shared" si="0"/>
        <v>0.80758955930733223</v>
      </c>
    </row>
    <row r="8" spans="1:6" x14ac:dyDescent="0.2">
      <c r="C8" t="s">
        <v>17</v>
      </c>
      <c r="D8" s="22">
        <f>AVERAGE(D2:D7)</f>
        <v>2619647.6666666665</v>
      </c>
      <c r="E8" s="22">
        <f t="shared" ref="E8:F8" si="1">AVERAGE(E2:E7)</f>
        <v>2148477.6666666665</v>
      </c>
      <c r="F8" s="3">
        <f t="shared" si="1"/>
        <v>0.81780536393224434</v>
      </c>
    </row>
    <row r="9" spans="1:6" x14ac:dyDescent="0.2">
      <c r="A9" s="10"/>
      <c r="B9" s="10"/>
      <c r="C9" s="10" t="s">
        <v>18</v>
      </c>
      <c r="D9" s="21">
        <f>STDEV(D2:D7)</f>
        <v>665911.44810392556</v>
      </c>
      <c r="E9" s="21">
        <f t="shared" ref="E9:F9" si="2">STDEV(E2:E7)</f>
        <v>568169.55075986462</v>
      </c>
      <c r="F9" s="14">
        <f t="shared" si="2"/>
        <v>2.1226240322400055E-2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6BA6-F537-1449-86D3-547667492817}">
  <dimension ref="A1:S26"/>
  <sheetViews>
    <sheetView workbookViewId="0">
      <selection activeCell="S1" sqref="S1:S10"/>
    </sheetView>
  </sheetViews>
  <sheetFormatPr baseColWidth="10" defaultRowHeight="16" x14ac:dyDescent="0.2"/>
  <cols>
    <col min="1" max="1" width="16" customWidth="1"/>
    <col min="2" max="2" width="9.83203125" customWidth="1"/>
    <col min="3" max="3" width="14.33203125" customWidth="1"/>
    <col min="4" max="4" width="14.6640625" bestFit="1" customWidth="1"/>
    <col min="5" max="5" width="13.5" customWidth="1"/>
    <col min="6" max="6" width="15.5" customWidth="1"/>
    <col min="7" max="7" width="21" customWidth="1"/>
    <col min="8" max="9" width="11.1640625" customWidth="1"/>
    <col min="10" max="12" width="19" customWidth="1"/>
    <col min="19" max="19" width="19.1640625" customWidth="1"/>
  </cols>
  <sheetData>
    <row r="1" spans="1:19" x14ac:dyDescent="0.2">
      <c r="A1" s="26" t="s">
        <v>0</v>
      </c>
      <c r="B1" s="26" t="s">
        <v>1</v>
      </c>
      <c r="C1" s="26" t="s">
        <v>40</v>
      </c>
      <c r="D1" s="26" t="s">
        <v>11</v>
      </c>
      <c r="E1" s="26" t="s">
        <v>35</v>
      </c>
      <c r="F1" s="26" t="s">
        <v>15</v>
      </c>
      <c r="G1" s="26" t="s">
        <v>36</v>
      </c>
      <c r="H1" s="26" t="s">
        <v>37</v>
      </c>
      <c r="I1" s="26" t="s">
        <v>41</v>
      </c>
      <c r="J1" s="26" t="s">
        <v>12</v>
      </c>
      <c r="K1" s="26" t="s">
        <v>13</v>
      </c>
      <c r="L1" s="26" t="s">
        <v>14</v>
      </c>
      <c r="M1" s="26" t="s">
        <v>20</v>
      </c>
      <c r="N1" s="26" t="s">
        <v>21</v>
      </c>
      <c r="O1" s="26" t="s">
        <v>22</v>
      </c>
      <c r="P1" s="26" t="s">
        <v>38</v>
      </c>
      <c r="Q1" s="26" t="s">
        <v>39</v>
      </c>
      <c r="R1" s="26" t="s">
        <v>34</v>
      </c>
      <c r="S1" s="42" t="s">
        <v>43</v>
      </c>
    </row>
    <row r="2" spans="1:19" x14ac:dyDescent="0.2">
      <c r="A2" t="s">
        <v>5</v>
      </c>
      <c r="B2" s="2">
        <v>1</v>
      </c>
      <c r="C2" s="1">
        <v>43434</v>
      </c>
      <c r="D2" s="4">
        <v>2616170</v>
      </c>
      <c r="E2" s="4">
        <v>336109</v>
      </c>
      <c r="F2" s="4">
        <v>1599211</v>
      </c>
      <c r="G2" s="4">
        <f>D2-E2-F2</f>
        <v>680850</v>
      </c>
      <c r="H2" s="3">
        <f>F2/(F2+G2)</f>
        <v>0.70138956808611697</v>
      </c>
      <c r="I2" s="3">
        <f>F2/D2</f>
        <v>0.61127946578395131</v>
      </c>
      <c r="J2" s="4">
        <v>790953</v>
      </c>
      <c r="K2" s="4">
        <v>751902</v>
      </c>
      <c r="L2" s="4">
        <v>44305</v>
      </c>
      <c r="M2" s="3">
        <f>J2/(J2+K2+L2)</f>
        <v>0.49834484235993853</v>
      </c>
      <c r="N2" s="3">
        <f>K2/(J2+K2+L2)</f>
        <v>0.47374051765417474</v>
      </c>
      <c r="O2" s="3">
        <f>L2/(J2+K2+L2)</f>
        <v>2.7914639985886742E-2</v>
      </c>
      <c r="P2">
        <v>41.125999999999998</v>
      </c>
      <c r="Q2" s="53">
        <f>P2/E2*1000000</f>
        <v>122.35911564403213</v>
      </c>
      <c r="R2" s="41">
        <f>Q2/60</f>
        <v>2.0393185940672023</v>
      </c>
      <c r="S2" s="3">
        <f>(J2+K2+L2)/D2</f>
        <v>0.60667311375025323</v>
      </c>
    </row>
    <row r="3" spans="1:19" x14ac:dyDescent="0.2">
      <c r="A3" t="s">
        <v>6</v>
      </c>
      <c r="B3" s="2">
        <v>2</v>
      </c>
      <c r="C3" s="1">
        <v>43434</v>
      </c>
      <c r="D3" s="4">
        <v>2116056</v>
      </c>
      <c r="E3" s="4">
        <v>315773</v>
      </c>
      <c r="F3" s="4">
        <v>1332780</v>
      </c>
      <c r="G3" s="4">
        <f t="shared" ref="G3:G7" si="0">D3-E3-F3</f>
        <v>467503</v>
      </c>
      <c r="H3" s="3">
        <f>F3/(F3+G3)</f>
        <v>0.74031693905902574</v>
      </c>
      <c r="I3" s="3">
        <f>F3/D3</f>
        <v>0.62984155428778821</v>
      </c>
      <c r="J3" s="4">
        <v>661669</v>
      </c>
      <c r="K3" s="4">
        <v>622426</v>
      </c>
      <c r="L3" s="4">
        <v>38693</v>
      </c>
      <c r="M3" s="3">
        <f t="shared" ref="M3:M7" si="1">J3/(J3+K3+L3)</f>
        <v>0.5002078942355086</v>
      </c>
      <c r="N3" s="3">
        <f t="shared" ref="N3:N7" si="2">K3/(J3+K3+L3)</f>
        <v>0.47054100883890693</v>
      </c>
      <c r="O3" s="3">
        <f t="shared" ref="O3:O7" si="3">L3/(J3+K3+L3)</f>
        <v>2.9251096925584447E-2</v>
      </c>
      <c r="P3">
        <v>37.259</v>
      </c>
      <c r="Q3" s="53">
        <f t="shared" ref="Q3:Q7" si="4">P3/E3*1000000</f>
        <v>117.99298863424042</v>
      </c>
      <c r="R3" s="41">
        <f>Q3/60</f>
        <v>1.9665498105706736</v>
      </c>
      <c r="S3" s="3">
        <f t="shared" ref="S3:S5" si="5">(J3+K3+L3)/D3</f>
        <v>0.6251195620531782</v>
      </c>
    </row>
    <row r="4" spans="1:19" x14ac:dyDescent="0.2">
      <c r="A4" t="s">
        <v>7</v>
      </c>
      <c r="B4" s="2">
        <v>3</v>
      </c>
      <c r="C4" s="1">
        <v>43434</v>
      </c>
      <c r="D4" s="4">
        <v>2448737</v>
      </c>
      <c r="E4" s="4">
        <v>347903</v>
      </c>
      <c r="F4" s="4">
        <v>1516009</v>
      </c>
      <c r="G4" s="4">
        <f t="shared" si="0"/>
        <v>584825</v>
      </c>
      <c r="H4" s="3">
        <f t="shared" ref="H4:H6" si="6">F4/(F4+G4)</f>
        <v>0.72162246041334066</v>
      </c>
      <c r="I4" s="3">
        <f t="shared" ref="I4:I7" si="7">F4/D4</f>
        <v>0.61909833518258595</v>
      </c>
      <c r="J4" s="4">
        <v>750191</v>
      </c>
      <c r="K4" s="4">
        <v>709650</v>
      </c>
      <c r="L4" s="4">
        <v>44864</v>
      </c>
      <c r="M4" s="3">
        <f t="shared" si="1"/>
        <v>0.49856350580346315</v>
      </c>
      <c r="N4" s="3">
        <f t="shared" si="2"/>
        <v>0.47162068312393457</v>
      </c>
      <c r="O4" s="3">
        <f t="shared" si="3"/>
        <v>2.9815811072602273E-2</v>
      </c>
      <c r="P4">
        <v>40.299999999999997</v>
      </c>
      <c r="Q4" s="53">
        <f t="shared" si="4"/>
        <v>115.83688556867861</v>
      </c>
      <c r="R4" s="41">
        <f t="shared" ref="R4:R6" si="8">Q4/60</f>
        <v>1.9306147594779768</v>
      </c>
      <c r="S4" s="3">
        <f>(J4+K4+L4)/D4</f>
        <v>0.61448207790383369</v>
      </c>
    </row>
    <row r="5" spans="1:19" x14ac:dyDescent="0.2">
      <c r="A5" t="s">
        <v>8</v>
      </c>
      <c r="B5" s="2">
        <v>1</v>
      </c>
      <c r="C5" s="1">
        <v>43581</v>
      </c>
      <c r="D5" s="4">
        <v>1388788</v>
      </c>
      <c r="E5" s="4">
        <v>204373</v>
      </c>
      <c r="F5" s="4">
        <v>858802</v>
      </c>
      <c r="G5" s="4">
        <f t="shared" si="0"/>
        <v>325613</v>
      </c>
      <c r="H5" s="3">
        <f t="shared" si="6"/>
        <v>0.72508537970221587</v>
      </c>
      <c r="I5" s="3">
        <f t="shared" si="7"/>
        <v>0.61838235929457919</v>
      </c>
      <c r="J5" s="4">
        <v>423903</v>
      </c>
      <c r="K5" s="4">
        <v>399891</v>
      </c>
      <c r="L5" s="4">
        <v>28439</v>
      </c>
      <c r="M5" s="3">
        <f t="shared" si="1"/>
        <v>0.49740270559811695</v>
      </c>
      <c r="N5" s="3">
        <f t="shared" si="2"/>
        <v>0.46922731224911496</v>
      </c>
      <c r="O5" s="3">
        <f t="shared" si="3"/>
        <v>3.3369982152768082E-2</v>
      </c>
      <c r="P5">
        <v>30.594000000000001</v>
      </c>
      <c r="Q5" s="53">
        <f>P5/E5*1000000</f>
        <v>149.6968777676112</v>
      </c>
      <c r="R5" s="41">
        <f t="shared" si="8"/>
        <v>2.4949479627935198</v>
      </c>
      <c r="S5" s="3">
        <f t="shared" si="5"/>
        <v>0.61365233570566569</v>
      </c>
    </row>
    <row r="6" spans="1:19" x14ac:dyDescent="0.2">
      <c r="A6" t="s">
        <v>9</v>
      </c>
      <c r="B6" s="2">
        <v>2</v>
      </c>
      <c r="C6" s="1">
        <v>43581</v>
      </c>
      <c r="D6" s="4">
        <v>1557764</v>
      </c>
      <c r="E6" s="4">
        <v>255480</v>
      </c>
      <c r="F6" s="4">
        <v>933064</v>
      </c>
      <c r="G6" s="4">
        <f t="shared" si="0"/>
        <v>369220</v>
      </c>
      <c r="H6" s="3">
        <f t="shared" si="6"/>
        <v>0.71648273341298829</v>
      </c>
      <c r="I6" s="3">
        <f t="shared" si="7"/>
        <v>0.59897648167501627</v>
      </c>
      <c r="J6" s="4">
        <v>461522</v>
      </c>
      <c r="K6" s="4">
        <v>430957</v>
      </c>
      <c r="L6" s="4">
        <v>32625</v>
      </c>
      <c r="M6" s="3">
        <f t="shared" si="1"/>
        <v>0.49888661166744497</v>
      </c>
      <c r="N6" s="3">
        <f t="shared" si="2"/>
        <v>0.46584708313876061</v>
      </c>
      <c r="O6" s="3">
        <f t="shared" si="3"/>
        <v>3.526630519379443E-2</v>
      </c>
      <c r="P6">
        <v>32.630000000000003</v>
      </c>
      <c r="Q6" s="53">
        <f t="shared" si="4"/>
        <v>127.720369500548</v>
      </c>
      <c r="R6" s="41">
        <f t="shared" si="8"/>
        <v>2.1286728250091334</v>
      </c>
      <c r="S6" s="3">
        <f>(J6+K6+L6)/D6</f>
        <v>0.59386659339925685</v>
      </c>
    </row>
    <row r="7" spans="1:19" x14ac:dyDescent="0.2">
      <c r="A7" s="10" t="s">
        <v>10</v>
      </c>
      <c r="B7" s="11">
        <v>3</v>
      </c>
      <c r="C7" s="12">
        <v>43581</v>
      </c>
      <c r="D7" s="13">
        <v>2763351</v>
      </c>
      <c r="E7" s="4">
        <v>434021</v>
      </c>
      <c r="F7" s="4">
        <v>1595328</v>
      </c>
      <c r="G7" s="4">
        <f t="shared" si="0"/>
        <v>734002</v>
      </c>
      <c r="H7" s="14">
        <f>F7/(F7+G7)</f>
        <v>0.68488707053101106</v>
      </c>
      <c r="I7" s="3">
        <f t="shared" si="7"/>
        <v>0.57731645382725538</v>
      </c>
      <c r="J7" s="13">
        <v>789300</v>
      </c>
      <c r="K7" s="4">
        <v>737033</v>
      </c>
      <c r="L7" s="4">
        <v>55720</v>
      </c>
      <c r="M7" s="3">
        <f t="shared" si="1"/>
        <v>0.4989086964848839</v>
      </c>
      <c r="N7" s="3">
        <f t="shared" si="2"/>
        <v>0.46587124451582851</v>
      </c>
      <c r="O7" s="3">
        <f t="shared" si="3"/>
        <v>3.5220058999287637E-2</v>
      </c>
      <c r="P7">
        <v>44.536000000000001</v>
      </c>
      <c r="Q7" s="53">
        <f t="shared" si="4"/>
        <v>102.61254639752454</v>
      </c>
      <c r="R7" s="41">
        <f>Q7/60</f>
        <v>1.710209106625409</v>
      </c>
      <c r="S7" s="3">
        <f>(J7+K7+L7)/D7</f>
        <v>0.57251250384044594</v>
      </c>
    </row>
    <row r="8" spans="1:19" x14ac:dyDescent="0.2">
      <c r="A8" s="15"/>
      <c r="B8" s="15"/>
      <c r="C8" s="15" t="s">
        <v>17</v>
      </c>
      <c r="D8" s="20"/>
      <c r="E8" s="18"/>
      <c r="F8" s="18"/>
      <c r="G8" s="18"/>
      <c r="H8" s="19">
        <f t="shared" ref="H8:I8" si="9">AVERAGE(H2:H7)</f>
        <v>0.71496402520078306</v>
      </c>
      <c r="I8" s="19">
        <f t="shared" si="9"/>
        <v>0.60914910834186276</v>
      </c>
      <c r="J8" s="18"/>
      <c r="K8" s="18"/>
      <c r="L8" s="18"/>
      <c r="M8" s="19">
        <f t="shared" ref="M8:O8" si="10">AVERAGE(M2:M7)</f>
        <v>0.49871904269155937</v>
      </c>
      <c r="N8" s="19">
        <f t="shared" si="10"/>
        <v>0.4694746415867867</v>
      </c>
      <c r="O8" s="19">
        <f t="shared" si="10"/>
        <v>3.1806315721653933E-2</v>
      </c>
      <c r="P8" s="40">
        <f t="shared" ref="P8:R8" si="11">AVERAGE(P2:P7)</f>
        <v>37.740833333333335</v>
      </c>
      <c r="Q8" s="40">
        <f t="shared" si="11"/>
        <v>122.70313058543915</v>
      </c>
      <c r="R8" s="40">
        <f t="shared" si="11"/>
        <v>2.0450521764239857</v>
      </c>
      <c r="S8" s="19">
        <f t="shared" ref="S8" si="12">AVERAGE(S2:S7)</f>
        <v>0.60438436444210564</v>
      </c>
    </row>
    <row r="9" spans="1:19" x14ac:dyDescent="0.2">
      <c r="A9" s="10"/>
      <c r="B9" s="10"/>
      <c r="C9" s="10" t="s">
        <v>18</v>
      </c>
      <c r="D9" s="21"/>
      <c r="E9" s="13"/>
      <c r="F9" s="13"/>
      <c r="G9" s="13"/>
      <c r="H9" s="14">
        <f t="shared" ref="H9:I9" si="13">STDEV(H2:H7)</f>
        <v>1.9394547585990362E-2</v>
      </c>
      <c r="I9" s="14">
        <f t="shared" si="13"/>
        <v>1.8621256706729025E-2</v>
      </c>
      <c r="J9" s="13"/>
      <c r="K9" s="13"/>
      <c r="L9" s="13"/>
      <c r="M9" s="14">
        <f t="shared" ref="M9" si="14">STDEV(M2:M7)</f>
        <v>9.1407743635186448E-4</v>
      </c>
      <c r="N9" s="14">
        <f t="shared" ref="N9:O9" si="15">STDEV(N2:N7)</f>
        <v>3.1668645239094511E-3</v>
      </c>
      <c r="O9" s="14">
        <f t="shared" si="15"/>
        <v>3.2157927453972468E-3</v>
      </c>
      <c r="P9" s="23">
        <f t="shared" ref="P9:R9" si="16">STDEV(P2:P7)</f>
        <v>5.3218978726265478</v>
      </c>
      <c r="Q9" s="23">
        <f t="shared" si="16"/>
        <v>15.664710341327964</v>
      </c>
      <c r="R9" s="23">
        <f t="shared" si="16"/>
        <v>0.26107850568879809</v>
      </c>
      <c r="S9" s="14">
        <f t="shared" ref="S9" si="17">STDEV(S2:S7)</f>
        <v>1.870553344753648E-2</v>
      </c>
    </row>
    <row r="10" spans="1:19" x14ac:dyDescent="0.2">
      <c r="F10" t="s">
        <v>19</v>
      </c>
      <c r="S10" t="s">
        <v>44</v>
      </c>
    </row>
    <row r="11" spans="1:19" x14ac:dyDescent="0.2">
      <c r="A11" t="s">
        <v>45</v>
      </c>
    </row>
    <row r="19" spans="7:9" x14ac:dyDescent="0.2">
      <c r="G19" s="43"/>
    </row>
    <row r="20" spans="7:9" x14ac:dyDescent="0.2">
      <c r="G20" s="43"/>
    </row>
    <row r="21" spans="7:9" x14ac:dyDescent="0.2">
      <c r="G21" s="43"/>
      <c r="I21" s="43"/>
    </row>
    <row r="22" spans="7:9" x14ac:dyDescent="0.2">
      <c r="G22" s="43"/>
      <c r="I22" s="43"/>
    </row>
    <row r="23" spans="7:9" x14ac:dyDescent="0.2">
      <c r="G23" s="43"/>
      <c r="I23" s="43"/>
    </row>
    <row r="24" spans="7:9" x14ac:dyDescent="0.2">
      <c r="G24" s="43"/>
      <c r="I24" s="43"/>
    </row>
    <row r="25" spans="7:9" x14ac:dyDescent="0.2">
      <c r="I25" s="43"/>
    </row>
    <row r="26" spans="7:9" x14ac:dyDescent="0.2">
      <c r="I26" s="43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8D09-AE0A-CD48-A8B1-FBE91CE136FB}">
  <dimension ref="A1:S10"/>
  <sheetViews>
    <sheetView workbookViewId="0">
      <selection activeCell="F10" sqref="F10"/>
    </sheetView>
  </sheetViews>
  <sheetFormatPr baseColWidth="10" defaultRowHeight="16" x14ac:dyDescent="0.2"/>
  <cols>
    <col min="1" max="1" width="16" customWidth="1"/>
    <col min="2" max="2" width="9.83203125" customWidth="1"/>
    <col min="3" max="3" width="14.33203125" customWidth="1"/>
    <col min="4" max="4" width="14.6640625" bestFit="1" customWidth="1"/>
    <col min="5" max="5" width="13.5" customWidth="1"/>
    <col min="6" max="6" width="15.5" customWidth="1"/>
    <col min="7" max="7" width="21" customWidth="1"/>
    <col min="8" max="9" width="11.1640625" customWidth="1"/>
    <col min="10" max="12" width="19" customWidth="1"/>
    <col min="19" max="19" width="19.1640625" customWidth="1"/>
  </cols>
  <sheetData>
    <row r="1" spans="1:19" x14ac:dyDescent="0.2">
      <c r="A1" s="26" t="s">
        <v>0</v>
      </c>
      <c r="B1" s="26" t="s">
        <v>1</v>
      </c>
      <c r="C1" s="26" t="s">
        <v>40</v>
      </c>
      <c r="D1" s="26" t="s">
        <v>11</v>
      </c>
      <c r="E1" s="26" t="s">
        <v>35</v>
      </c>
      <c r="F1" s="26" t="s">
        <v>15</v>
      </c>
      <c r="G1" s="26" t="s">
        <v>36</v>
      </c>
      <c r="H1" s="26" t="s">
        <v>37</v>
      </c>
      <c r="I1" s="26" t="s">
        <v>41</v>
      </c>
      <c r="J1" s="26" t="s">
        <v>12</v>
      </c>
      <c r="K1" s="26" t="s">
        <v>13</v>
      </c>
      <c r="L1" s="26" t="s">
        <v>14</v>
      </c>
      <c r="M1" s="26" t="s">
        <v>20</v>
      </c>
      <c r="N1" s="26" t="s">
        <v>21</v>
      </c>
      <c r="O1" s="26" t="s">
        <v>22</v>
      </c>
      <c r="P1" s="26" t="s">
        <v>38</v>
      </c>
      <c r="Q1" s="26" t="s">
        <v>39</v>
      </c>
      <c r="R1" s="26" t="s">
        <v>34</v>
      </c>
      <c r="S1" s="42" t="s">
        <v>43</v>
      </c>
    </row>
    <row r="2" spans="1:19" x14ac:dyDescent="0.2">
      <c r="A2" t="s">
        <v>5</v>
      </c>
      <c r="B2" s="2">
        <v>1</v>
      </c>
      <c r="C2" s="1">
        <v>43434</v>
      </c>
      <c r="D2" s="4">
        <v>2616170</v>
      </c>
      <c r="E2" s="44">
        <f>D2-F2-G2</f>
        <v>129970</v>
      </c>
      <c r="F2" s="4">
        <v>1686193</v>
      </c>
      <c r="G2" s="4">
        <v>800007</v>
      </c>
      <c r="H2" s="3">
        <f>F2/(F2+G2)</f>
        <v>0.67822097980854312</v>
      </c>
      <c r="I2" s="3">
        <f>F2/D2</f>
        <v>0.64452730518276713</v>
      </c>
      <c r="J2" s="4">
        <v>833861</v>
      </c>
      <c r="K2" s="4">
        <v>791543</v>
      </c>
      <c r="L2" s="4">
        <v>48770</v>
      </c>
      <c r="M2" s="3">
        <f>J2/(J2+K2+L2)</f>
        <v>0.49807307962015895</v>
      </c>
      <c r="N2" s="3">
        <f>K2/(J2+K2+L2)</f>
        <v>0.47279613708013624</v>
      </c>
      <c r="O2" s="3">
        <f>L2/(J2+K2+L2)</f>
        <v>2.913078329970481E-2</v>
      </c>
      <c r="P2">
        <v>205.24299999999999</v>
      </c>
      <c r="Q2" s="24">
        <f>P2/E2*1000000</f>
        <v>1579.1567284758021</v>
      </c>
      <c r="R2" s="41">
        <f>Q2/60</f>
        <v>26.319278807930036</v>
      </c>
      <c r="S2" s="3">
        <f>(J2+K2+L2)/D2</f>
        <v>0.63993318477010286</v>
      </c>
    </row>
    <row r="3" spans="1:19" x14ac:dyDescent="0.2">
      <c r="A3" t="s">
        <v>6</v>
      </c>
      <c r="B3" s="2">
        <v>2</v>
      </c>
      <c r="C3" s="1">
        <v>43434</v>
      </c>
      <c r="D3" s="4">
        <v>2116056</v>
      </c>
      <c r="E3" s="44">
        <f t="shared" ref="E3:E7" si="0">D3-F3-G3</f>
        <v>126248</v>
      </c>
      <c r="F3" s="4">
        <v>1420116</v>
      </c>
      <c r="G3" s="4">
        <v>569692</v>
      </c>
      <c r="H3" s="3">
        <f>F3/(F3+G3)</f>
        <v>0.71369498966734479</v>
      </c>
      <c r="I3" s="3">
        <f t="shared" ref="I3:I7" si="1">F3/D3</f>
        <v>0.67111456407580894</v>
      </c>
      <c r="J3" s="4">
        <v>704097</v>
      </c>
      <c r="K3" s="4">
        <v>662126</v>
      </c>
      <c r="L3" s="4">
        <v>43633</v>
      </c>
      <c r="M3" s="3">
        <f>J3/(J3+K3+L3)</f>
        <v>0.49941057810159334</v>
      </c>
      <c r="N3" s="3">
        <f t="shared" ref="N3:N7" si="2">K3/(J3+K3+L3)</f>
        <v>0.46964087112442687</v>
      </c>
      <c r="O3" s="3">
        <f t="shared" ref="O3:O7" si="3">L3/(J3+K3+L3)</f>
        <v>3.0948550773979754E-2</v>
      </c>
      <c r="P3">
        <v>205.34399999999999</v>
      </c>
      <c r="Q3" s="24">
        <f t="shared" ref="Q3:Q7" si="4">P3/E3*1000000</f>
        <v>1626.5128952537862</v>
      </c>
      <c r="R3" s="41">
        <f>Q3/60</f>
        <v>27.10854825422977</v>
      </c>
      <c r="S3" s="3">
        <f t="shared" ref="S3:S7" si="5">(J3+K3+L3)/D3</f>
        <v>0.66626592112874139</v>
      </c>
    </row>
    <row r="4" spans="1:19" x14ac:dyDescent="0.2">
      <c r="A4" t="s">
        <v>7</v>
      </c>
      <c r="B4" s="2">
        <v>3</v>
      </c>
      <c r="C4" s="1">
        <v>43434</v>
      </c>
      <c r="D4" s="4">
        <v>2448737</v>
      </c>
      <c r="E4" s="44">
        <f t="shared" si="0"/>
        <v>139764</v>
      </c>
      <c r="F4" s="4">
        <v>1611965</v>
      </c>
      <c r="G4" s="4">
        <v>697008</v>
      </c>
      <c r="H4" s="3">
        <f t="shared" ref="H4:H6" si="6">F4/(F4+G4)</f>
        <v>0.69813072738399284</v>
      </c>
      <c r="I4" s="3">
        <f t="shared" si="1"/>
        <v>0.65828425020735182</v>
      </c>
      <c r="J4">
        <v>797135</v>
      </c>
      <c r="K4">
        <v>753024</v>
      </c>
      <c r="L4">
        <v>50140</v>
      </c>
      <c r="M4" s="3">
        <f t="shared" ref="M4:M6" si="7">J4/(J4+K4+L4)</f>
        <v>0.49811628951839626</v>
      </c>
      <c r="N4" s="3">
        <f t="shared" si="2"/>
        <v>0.47055206558274421</v>
      </c>
      <c r="O4" s="3">
        <f t="shared" si="3"/>
        <v>3.1331644898859527E-2</v>
      </c>
      <c r="P4">
        <v>196.245</v>
      </c>
      <c r="Q4" s="24">
        <f t="shared" si="4"/>
        <v>1404.1169399845455</v>
      </c>
      <c r="R4" s="41">
        <f t="shared" ref="R4:R6" si="8">Q4/60</f>
        <v>23.401948999742427</v>
      </c>
      <c r="S4" s="3">
        <f t="shared" si="5"/>
        <v>0.65352016161800963</v>
      </c>
    </row>
    <row r="5" spans="1:19" x14ac:dyDescent="0.2">
      <c r="A5" t="s">
        <v>8</v>
      </c>
      <c r="B5" s="2">
        <v>1</v>
      </c>
      <c r="C5" s="1">
        <v>43581</v>
      </c>
      <c r="D5" s="4">
        <v>1388788</v>
      </c>
      <c r="E5" s="44">
        <f t="shared" si="0"/>
        <v>77901</v>
      </c>
      <c r="F5" s="4">
        <v>916866</v>
      </c>
      <c r="G5" s="4">
        <v>394021</v>
      </c>
      <c r="H5" s="3">
        <f t="shared" si="6"/>
        <v>0.69942413037889617</v>
      </c>
      <c r="I5" s="3">
        <f t="shared" si="1"/>
        <v>0.66019147630883912</v>
      </c>
      <c r="J5" s="4">
        <v>451609</v>
      </c>
      <c r="K5" s="4">
        <v>425901</v>
      </c>
      <c r="L5" s="4">
        <v>32550</v>
      </c>
      <c r="M5" s="3">
        <f>J5/(J5+K5+L5)</f>
        <v>0.49624090719293235</v>
      </c>
      <c r="N5" s="3">
        <f t="shared" si="2"/>
        <v>0.4679922202931675</v>
      </c>
      <c r="O5" s="3">
        <f t="shared" si="3"/>
        <v>3.5766872513900184E-2</v>
      </c>
      <c r="P5">
        <v>199.904</v>
      </c>
      <c r="Q5" s="24">
        <f>P5/E5*1000000</f>
        <v>2566.1288045082861</v>
      </c>
      <c r="R5" s="41">
        <f t="shared" si="8"/>
        <v>42.768813408471438</v>
      </c>
      <c r="S5" s="3">
        <f t="shared" si="5"/>
        <v>0.65529080032373554</v>
      </c>
    </row>
    <row r="6" spans="1:19" x14ac:dyDescent="0.2">
      <c r="A6" t="s">
        <v>9</v>
      </c>
      <c r="B6" s="2">
        <v>2</v>
      </c>
      <c r="C6" s="1">
        <v>43581</v>
      </c>
      <c r="D6" s="4">
        <v>1557764</v>
      </c>
      <c r="E6" s="44">
        <f t="shared" si="0"/>
        <v>94086</v>
      </c>
      <c r="F6" s="4">
        <v>999813</v>
      </c>
      <c r="G6" s="4">
        <v>463865</v>
      </c>
      <c r="H6" s="3">
        <f t="shared" si="6"/>
        <v>0.68308261789819891</v>
      </c>
      <c r="I6" s="3">
        <f t="shared" si="1"/>
        <v>0.64182571942861688</v>
      </c>
      <c r="J6" s="4">
        <v>492928</v>
      </c>
      <c r="K6" s="4">
        <v>461111</v>
      </c>
      <c r="L6" s="4">
        <v>37301</v>
      </c>
      <c r="M6" s="3">
        <f t="shared" si="7"/>
        <v>0.49723404684568362</v>
      </c>
      <c r="N6" s="3">
        <f t="shared" si="2"/>
        <v>0.46513910464623642</v>
      </c>
      <c r="O6" s="3">
        <f t="shared" si="3"/>
        <v>3.7626848508079971E-2</v>
      </c>
      <c r="P6">
        <v>204.929</v>
      </c>
      <c r="Q6" s="24">
        <f t="shared" si="4"/>
        <v>2178.1030121378312</v>
      </c>
      <c r="R6" s="41">
        <f t="shared" si="8"/>
        <v>36.301716868963851</v>
      </c>
      <c r="S6" s="3">
        <f t="shared" si="5"/>
        <v>0.63638651297629167</v>
      </c>
    </row>
    <row r="7" spans="1:19" x14ac:dyDescent="0.2">
      <c r="A7" s="10" t="s">
        <v>10</v>
      </c>
      <c r="B7" s="11">
        <v>3</v>
      </c>
      <c r="C7" s="12">
        <v>43581</v>
      </c>
      <c r="D7" s="13">
        <v>2763351</v>
      </c>
      <c r="E7" s="44">
        <f t="shared" si="0"/>
        <v>162694</v>
      </c>
      <c r="F7" s="4">
        <v>1704898</v>
      </c>
      <c r="G7" s="4">
        <v>895759</v>
      </c>
      <c r="H7" s="14">
        <f>F7/(F7+G7)</f>
        <v>0.65556434393309071</v>
      </c>
      <c r="I7" s="3">
        <f t="shared" si="1"/>
        <v>0.61696758754135828</v>
      </c>
      <c r="J7" s="13">
        <v>840689</v>
      </c>
      <c r="K7" s="4">
        <v>787134</v>
      </c>
      <c r="L7" s="4">
        <v>63311</v>
      </c>
      <c r="M7" s="3">
        <f>J7/(J7+K7+L7)</f>
        <v>0.49711554495385935</v>
      </c>
      <c r="N7" s="3">
        <f t="shared" si="2"/>
        <v>0.46544744532367038</v>
      </c>
      <c r="O7" s="3">
        <f t="shared" si="3"/>
        <v>3.7437009722470251E-2</v>
      </c>
      <c r="P7">
        <v>193.45599999999999</v>
      </c>
      <c r="Q7" s="24">
        <f t="shared" si="4"/>
        <v>1189.0788842858371</v>
      </c>
      <c r="R7" s="41">
        <f>Q7/60</f>
        <v>19.817981404763952</v>
      </c>
      <c r="S7" s="3">
        <f t="shared" si="5"/>
        <v>0.61198667849288779</v>
      </c>
    </row>
    <row r="8" spans="1:19" x14ac:dyDescent="0.2">
      <c r="A8" s="15"/>
      <c r="B8" s="15"/>
      <c r="C8" s="15" t="s">
        <v>17</v>
      </c>
      <c r="D8" s="20"/>
      <c r="E8" s="18"/>
      <c r="F8" s="18"/>
      <c r="G8" s="18"/>
      <c r="H8" s="19">
        <f t="shared" ref="H8:I8" si="9">AVERAGE(H2:H7)</f>
        <v>0.68801963151167778</v>
      </c>
      <c r="I8" s="19">
        <f t="shared" si="9"/>
        <v>0.64881848379079043</v>
      </c>
      <c r="J8" s="18"/>
      <c r="K8" s="18"/>
      <c r="L8" s="18"/>
      <c r="M8" s="19">
        <f t="shared" ref="M8:S8" si="10">AVERAGE(M2:M7)</f>
        <v>0.49769840770543733</v>
      </c>
      <c r="N8" s="19">
        <f t="shared" si="10"/>
        <v>0.46859464067506362</v>
      </c>
      <c r="O8" s="19">
        <f t="shared" si="10"/>
        <v>3.3706951619499083E-2</v>
      </c>
      <c r="P8" s="40">
        <f t="shared" si="10"/>
        <v>200.85349999999997</v>
      </c>
      <c r="Q8" s="40">
        <f t="shared" si="10"/>
        <v>1757.1828774410149</v>
      </c>
      <c r="R8" s="40">
        <f t="shared" si="10"/>
        <v>29.286381290683579</v>
      </c>
      <c r="S8" s="19">
        <f t="shared" si="10"/>
        <v>0.64389720988496146</v>
      </c>
    </row>
    <row r="9" spans="1:19" x14ac:dyDescent="0.2">
      <c r="A9" s="10"/>
      <c r="B9" s="10"/>
      <c r="C9" s="10" t="s">
        <v>18</v>
      </c>
      <c r="D9" s="21"/>
      <c r="E9" s="13"/>
      <c r="F9" s="13"/>
      <c r="G9" s="13"/>
      <c r="H9" s="14">
        <f t="shared" ref="H9:I9" si="11">STDEV(H2:H7)</f>
        <v>2.0323652432577746E-2</v>
      </c>
      <c r="I9" s="14">
        <f t="shared" si="11"/>
        <v>1.8962349263250144E-2</v>
      </c>
      <c r="J9" s="13"/>
      <c r="K9" s="13"/>
      <c r="L9" s="13"/>
      <c r="M9" s="14">
        <f t="shared" ref="M9:S9" si="12">STDEV(M2:M7)</f>
        <v>1.088687233135081E-3</v>
      </c>
      <c r="N9" s="14">
        <f t="shared" si="12"/>
        <v>2.9928969446708048E-3</v>
      </c>
      <c r="O9" s="14">
        <f t="shared" si="12"/>
        <v>3.6800644802123549E-3</v>
      </c>
      <c r="P9" s="23">
        <f t="shared" si="12"/>
        <v>5.1556731762205423</v>
      </c>
      <c r="Q9" s="23">
        <f t="shared" si="12"/>
        <v>515.3121248142686</v>
      </c>
      <c r="R9" s="23">
        <f t="shared" si="12"/>
        <v>8.5885354135711456</v>
      </c>
      <c r="S9" s="14">
        <f t="shared" si="12"/>
        <v>1.9043006184635641E-2</v>
      </c>
    </row>
    <row r="10" spans="1:19" x14ac:dyDescent="0.2">
      <c r="F10" t="s">
        <v>19</v>
      </c>
      <c r="S10" t="s">
        <v>44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FA49-ED6F-0347-B3D1-43D5EB9D054E}">
  <dimension ref="A1:T21"/>
  <sheetViews>
    <sheetView tabSelected="1" workbookViewId="0">
      <selection activeCell="E13" sqref="E13:G13"/>
    </sheetView>
  </sheetViews>
  <sheetFormatPr baseColWidth="10" defaultRowHeight="16" x14ac:dyDescent="0.2"/>
  <cols>
    <col min="1" max="1" width="18.83203125" customWidth="1"/>
    <col min="3" max="3" width="14.1640625" customWidth="1"/>
    <col min="4" max="4" width="12.6640625" customWidth="1"/>
    <col min="5" max="12" width="16.1640625" customWidth="1"/>
    <col min="13" max="13" width="14.33203125" customWidth="1"/>
    <col min="14" max="15" width="11.6640625" customWidth="1"/>
    <col min="20" max="20" width="16.6640625" customWidth="1"/>
  </cols>
  <sheetData>
    <row r="1" spans="1:20" x14ac:dyDescent="0.2">
      <c r="A1" s="10" t="s">
        <v>0</v>
      </c>
      <c r="B1" s="10" t="s">
        <v>1</v>
      </c>
      <c r="C1" s="10" t="s">
        <v>2</v>
      </c>
      <c r="D1" s="10" t="s">
        <v>11</v>
      </c>
      <c r="E1" s="25" t="s">
        <v>12</v>
      </c>
      <c r="F1" s="26" t="s">
        <v>23</v>
      </c>
      <c r="G1" s="27" t="s">
        <v>24</v>
      </c>
      <c r="H1" s="26" t="s">
        <v>13</v>
      </c>
      <c r="I1" s="26" t="s">
        <v>25</v>
      </c>
      <c r="J1" s="26" t="s">
        <v>26</v>
      </c>
      <c r="K1" s="25" t="s">
        <v>14</v>
      </c>
      <c r="L1" s="26" t="s">
        <v>27</v>
      </c>
      <c r="M1" s="27" t="s">
        <v>28</v>
      </c>
      <c r="N1" s="26" t="s">
        <v>29</v>
      </c>
      <c r="O1" s="26" t="s">
        <v>30</v>
      </c>
      <c r="P1" s="26" t="s">
        <v>31</v>
      </c>
      <c r="Q1" s="26" t="s">
        <v>20</v>
      </c>
      <c r="R1" s="26" t="s">
        <v>21</v>
      </c>
      <c r="S1" s="26" t="s">
        <v>22</v>
      </c>
      <c r="T1" s="42" t="s">
        <v>42</v>
      </c>
    </row>
    <row r="2" spans="1:20" x14ac:dyDescent="0.2">
      <c r="A2" t="s">
        <v>5</v>
      </c>
      <c r="B2" s="2">
        <v>1</v>
      </c>
      <c r="C2" s="1">
        <v>43434</v>
      </c>
      <c r="D2" s="4">
        <v>2616170</v>
      </c>
      <c r="E2" s="46">
        <v>1803766</v>
      </c>
      <c r="F2" s="8">
        <v>511305</v>
      </c>
      <c r="G2" s="29">
        <f>D2-E2-F2</f>
        <v>301099</v>
      </c>
      <c r="H2" s="4">
        <v>1912244</v>
      </c>
      <c r="I2" s="4">
        <v>382098</v>
      </c>
      <c r="J2" s="4">
        <f>D2-H2-I2</f>
        <v>321828</v>
      </c>
      <c r="K2" s="46">
        <v>1634313</v>
      </c>
      <c r="L2" s="8">
        <v>517307</v>
      </c>
      <c r="M2" s="29">
        <f>D2-K2-L2</f>
        <v>464550</v>
      </c>
      <c r="N2" s="4">
        <v>475331</v>
      </c>
      <c r="O2" s="4">
        <v>475753</v>
      </c>
      <c r="P2" s="4">
        <v>26351</v>
      </c>
      <c r="Q2" s="3">
        <f>N2/(N2+O2+P2)</f>
        <v>0.48630446014312972</v>
      </c>
      <c r="R2" s="3">
        <f>O2/(N2+O2+P2)</f>
        <v>0.48673620240732118</v>
      </c>
      <c r="S2" s="3">
        <f>P2/(N2+O2+P2)</f>
        <v>2.6959337449549075E-2</v>
      </c>
      <c r="T2" s="3">
        <f>(N2+O2+P2)/D2</f>
        <v>0.37361295328667482</v>
      </c>
    </row>
    <row r="3" spans="1:20" x14ac:dyDescent="0.2">
      <c r="A3" t="s">
        <v>6</v>
      </c>
      <c r="B3" s="2">
        <v>2</v>
      </c>
      <c r="C3" s="1">
        <v>43434</v>
      </c>
      <c r="D3" s="4">
        <v>2116056</v>
      </c>
      <c r="E3" s="28">
        <v>1494715</v>
      </c>
      <c r="F3" s="8">
        <v>324255</v>
      </c>
      <c r="G3" s="29">
        <f>D3-E3-F3</f>
        <v>297086</v>
      </c>
      <c r="H3" s="4">
        <v>1509260</v>
      </c>
      <c r="I3" s="4">
        <v>297343</v>
      </c>
      <c r="J3" s="4">
        <f t="shared" ref="J3:J7" si="0">D3-H3-I3</f>
        <v>309453</v>
      </c>
      <c r="K3" s="28">
        <v>1287229</v>
      </c>
      <c r="L3" s="8">
        <v>382481</v>
      </c>
      <c r="M3" s="29">
        <f t="shared" ref="M3:M7" si="1">D3-K3-L3</f>
        <v>446346</v>
      </c>
      <c r="N3" s="4">
        <v>373252</v>
      </c>
      <c r="O3" s="4">
        <v>362217</v>
      </c>
      <c r="P3" s="4">
        <v>24382</v>
      </c>
      <c r="Q3" s="3">
        <f t="shared" ref="Q3:Q7" si="2">N3/(N3+O3+P3)</f>
        <v>0.49121735708711312</v>
      </c>
      <c r="R3" s="3">
        <f t="shared" ref="R3:R7" si="3">O3/(N3+O3+P3)</f>
        <v>0.47669477305419089</v>
      </c>
      <c r="S3" s="3">
        <f t="shared" ref="S3:S7" si="4">P3/(N3+O3+P3)</f>
        <v>3.208786985869598E-2</v>
      </c>
      <c r="T3" s="3">
        <f t="shared" ref="T3:T7" si="5">(N3+O3+P3)/D3</f>
        <v>0.35908832280431141</v>
      </c>
    </row>
    <row r="4" spans="1:20" x14ac:dyDescent="0.2">
      <c r="A4" t="s">
        <v>7</v>
      </c>
      <c r="B4" s="2">
        <v>3</v>
      </c>
      <c r="C4" s="1">
        <v>43434</v>
      </c>
      <c r="D4" s="4">
        <v>2448737</v>
      </c>
      <c r="E4" s="28">
        <v>1702856</v>
      </c>
      <c r="F4" s="8">
        <v>419983</v>
      </c>
      <c r="G4" s="29">
        <f t="shared" ref="G4:G7" si="6">D4-E4-F4</f>
        <v>325898</v>
      </c>
      <c r="H4" s="4">
        <v>1764631</v>
      </c>
      <c r="I4" s="4">
        <v>343031</v>
      </c>
      <c r="J4" s="4">
        <f t="shared" si="0"/>
        <v>341075</v>
      </c>
      <c r="K4" s="28">
        <v>1507651</v>
      </c>
      <c r="L4" s="8">
        <v>449492</v>
      </c>
      <c r="M4" s="29">
        <f t="shared" si="1"/>
        <v>491594</v>
      </c>
      <c r="N4" s="4">
        <v>431496</v>
      </c>
      <c r="O4" s="4">
        <v>423934</v>
      </c>
      <c r="P4" s="4">
        <v>30846</v>
      </c>
      <c r="Q4" s="3">
        <f t="shared" si="2"/>
        <v>0.48686413713109689</v>
      </c>
      <c r="R4" s="3">
        <f t="shared" si="3"/>
        <v>0.47833180634475042</v>
      </c>
      <c r="S4" s="3">
        <f t="shared" si="4"/>
        <v>3.4804056524152749E-2</v>
      </c>
      <c r="T4" s="3">
        <f t="shared" si="5"/>
        <v>0.36193188570271123</v>
      </c>
    </row>
    <row r="5" spans="1:20" x14ac:dyDescent="0.2">
      <c r="A5" t="s">
        <v>8</v>
      </c>
      <c r="B5" s="2">
        <v>1</v>
      </c>
      <c r="C5" s="1">
        <v>43581</v>
      </c>
      <c r="D5" s="4">
        <v>1388788</v>
      </c>
      <c r="E5" s="28">
        <v>948977</v>
      </c>
      <c r="F5" s="8">
        <v>249104</v>
      </c>
      <c r="G5" s="29">
        <f t="shared" si="6"/>
        <v>190707</v>
      </c>
      <c r="H5" s="4">
        <v>986774</v>
      </c>
      <c r="I5" s="4">
        <v>201038</v>
      </c>
      <c r="J5" s="4">
        <f t="shared" si="0"/>
        <v>200976</v>
      </c>
      <c r="K5" s="28">
        <v>834414</v>
      </c>
      <c r="L5" s="8">
        <v>266179</v>
      </c>
      <c r="M5" s="29">
        <f t="shared" si="1"/>
        <v>288195</v>
      </c>
      <c r="N5" s="4">
        <v>233325</v>
      </c>
      <c r="O5" s="4">
        <v>228369</v>
      </c>
      <c r="P5" s="4">
        <v>15845</v>
      </c>
      <c r="Q5" s="3">
        <f t="shared" si="2"/>
        <v>0.48859883695363099</v>
      </c>
      <c r="R5" s="3">
        <f t="shared" si="3"/>
        <v>0.47822062700638063</v>
      </c>
      <c r="S5" s="3">
        <f t="shared" si="4"/>
        <v>3.3180536039988356E-2</v>
      </c>
      <c r="T5" s="3">
        <f t="shared" si="5"/>
        <v>0.34385305748609579</v>
      </c>
    </row>
    <row r="6" spans="1:20" x14ac:dyDescent="0.2">
      <c r="A6" t="s">
        <v>9</v>
      </c>
      <c r="B6" s="2">
        <v>2</v>
      </c>
      <c r="C6" s="1">
        <v>43581</v>
      </c>
      <c r="D6" s="4">
        <v>1557764</v>
      </c>
      <c r="E6" s="28">
        <v>1051768</v>
      </c>
      <c r="F6" s="8">
        <v>284896</v>
      </c>
      <c r="G6" s="29">
        <f t="shared" si="6"/>
        <v>221100</v>
      </c>
      <c r="H6" s="4">
        <v>1063606</v>
      </c>
      <c r="I6" s="4">
        <v>262566</v>
      </c>
      <c r="J6" s="4">
        <f t="shared" si="0"/>
        <v>231592</v>
      </c>
      <c r="K6" s="28">
        <v>887194</v>
      </c>
      <c r="L6" s="8">
        <v>343033</v>
      </c>
      <c r="M6" s="29">
        <f t="shared" si="1"/>
        <v>327537</v>
      </c>
      <c r="N6" s="4">
        <v>246047</v>
      </c>
      <c r="O6" s="4">
        <v>235837</v>
      </c>
      <c r="P6" s="4">
        <v>22918</v>
      </c>
      <c r="Q6" s="3">
        <f t="shared" si="2"/>
        <v>0.48741288663674076</v>
      </c>
      <c r="R6" s="3">
        <f t="shared" si="3"/>
        <v>0.46718713475778623</v>
      </c>
      <c r="S6" s="3">
        <f t="shared" si="4"/>
        <v>4.539997860547304E-2</v>
      </c>
      <c r="T6" s="3">
        <f t="shared" si="5"/>
        <v>0.32405550519847681</v>
      </c>
    </row>
    <row r="7" spans="1:20" x14ac:dyDescent="0.2">
      <c r="A7" s="10" t="s">
        <v>10</v>
      </c>
      <c r="B7" s="11">
        <v>3</v>
      </c>
      <c r="C7" s="12">
        <v>43581</v>
      </c>
      <c r="D7" s="13">
        <v>2763351</v>
      </c>
      <c r="E7" s="30">
        <v>1823041</v>
      </c>
      <c r="F7" s="13">
        <v>568665</v>
      </c>
      <c r="G7" s="31">
        <f t="shared" si="6"/>
        <v>371645</v>
      </c>
      <c r="H7" s="13">
        <v>1876405</v>
      </c>
      <c r="I7" s="13">
        <v>497799</v>
      </c>
      <c r="J7" s="13">
        <f t="shared" si="0"/>
        <v>389147</v>
      </c>
      <c r="K7" s="30">
        <v>1555040</v>
      </c>
      <c r="L7" s="13">
        <v>659616</v>
      </c>
      <c r="M7" s="31">
        <f t="shared" si="1"/>
        <v>548695</v>
      </c>
      <c r="N7" s="4">
        <v>425215</v>
      </c>
      <c r="O7" s="4">
        <v>410611</v>
      </c>
      <c r="P7" s="4">
        <v>40475</v>
      </c>
      <c r="Q7" s="3">
        <f t="shared" si="2"/>
        <v>0.48523851964108222</v>
      </c>
      <c r="R7" s="3">
        <f t="shared" si="3"/>
        <v>0.46857301315415595</v>
      </c>
      <c r="S7" s="3">
        <f t="shared" si="4"/>
        <v>4.6188467204761836E-2</v>
      </c>
      <c r="T7" s="3">
        <f t="shared" si="5"/>
        <v>0.31711534292965315</v>
      </c>
    </row>
    <row r="8" spans="1:20" x14ac:dyDescent="0.2">
      <c r="A8" s="15"/>
      <c r="B8" s="15"/>
      <c r="C8" s="15" t="s">
        <v>17</v>
      </c>
      <c r="D8" s="20"/>
      <c r="E8" s="32"/>
      <c r="G8" s="33"/>
      <c r="K8" s="32"/>
      <c r="M8" s="33"/>
      <c r="N8" s="15"/>
      <c r="O8" s="15"/>
      <c r="P8" s="15"/>
      <c r="Q8" s="34">
        <f>AVERAGE(Q2:Q7)</f>
        <v>0.48760603293213228</v>
      </c>
      <c r="R8" s="34">
        <f t="shared" ref="R8:S8" si="7">AVERAGE(R2:R7)</f>
        <v>0.47595725945409756</v>
      </c>
      <c r="S8" s="34">
        <f t="shared" si="7"/>
        <v>3.6436707613770172E-2</v>
      </c>
      <c r="T8" s="19">
        <f t="shared" ref="T8" si="8">AVERAGE(T2:T7)</f>
        <v>0.34660951123465389</v>
      </c>
    </row>
    <row r="9" spans="1:20" x14ac:dyDescent="0.2">
      <c r="A9" s="10"/>
      <c r="B9" s="10"/>
      <c r="C9" s="10" t="s">
        <v>18</v>
      </c>
      <c r="D9" s="21"/>
      <c r="E9" s="35"/>
      <c r="F9" s="10"/>
      <c r="G9" s="36"/>
      <c r="H9" s="10"/>
      <c r="I9" s="10"/>
      <c r="J9" s="10"/>
      <c r="K9" s="35"/>
      <c r="L9" s="10"/>
      <c r="M9" s="36"/>
      <c r="N9" s="10"/>
      <c r="O9" s="10"/>
      <c r="P9" s="10"/>
      <c r="Q9" s="14">
        <f>STDEV(Q2:Q7)</f>
        <v>2.0935256271104033E-3</v>
      </c>
      <c r="R9" s="14">
        <f t="shared" ref="R9:S9" si="9">STDEV(R2:R7)</f>
        <v>7.1962910407912242E-3</v>
      </c>
      <c r="S9" s="14">
        <f t="shared" si="9"/>
        <v>7.7128228287594077E-3</v>
      </c>
      <c r="T9" s="14">
        <f t="shared" ref="T9" si="10">STDEV(T2:T7)</f>
        <v>2.2386911219455033E-2</v>
      </c>
    </row>
    <row r="10" spans="1:20" x14ac:dyDescent="0.2">
      <c r="T10" t="s">
        <v>44</v>
      </c>
    </row>
    <row r="12" spans="1:20" x14ac:dyDescent="0.2">
      <c r="A12" s="37" t="s">
        <v>32</v>
      </c>
    </row>
    <row r="13" spans="1:20" x14ac:dyDescent="0.2">
      <c r="A13" s="10" t="s">
        <v>0</v>
      </c>
      <c r="B13" s="10" t="s">
        <v>1</v>
      </c>
      <c r="C13" s="10" t="s">
        <v>2</v>
      </c>
      <c r="D13" s="10" t="s">
        <v>11</v>
      </c>
      <c r="E13" s="25" t="s">
        <v>46</v>
      </c>
      <c r="F13" s="26" t="s">
        <v>47</v>
      </c>
      <c r="G13" s="26" t="s">
        <v>48</v>
      </c>
      <c r="H13" s="25" t="s">
        <v>33</v>
      </c>
      <c r="I13" s="26" t="s">
        <v>34</v>
      </c>
      <c r="J13" s="38"/>
      <c r="K13" s="45"/>
      <c r="M13" s="38"/>
      <c r="N13" s="45"/>
    </row>
    <row r="14" spans="1:20" x14ac:dyDescent="0.2">
      <c r="A14" t="s">
        <v>5</v>
      </c>
      <c r="B14" s="2">
        <v>1</v>
      </c>
      <c r="C14" s="1">
        <v>43434</v>
      </c>
      <c r="D14" s="4">
        <v>2616170</v>
      </c>
      <c r="E14" s="49">
        <v>150.74600000000001</v>
      </c>
      <c r="F14" s="50">
        <v>4722.08</v>
      </c>
      <c r="G14" s="50">
        <v>123.32299999999999</v>
      </c>
      <c r="H14" s="47">
        <f>E14+F14+G14</f>
        <v>4996.1490000000003</v>
      </c>
      <c r="I14" s="24">
        <f>(H14/60)/D14*1000000</f>
        <v>31.828646456461165</v>
      </c>
      <c r="J14" s="24"/>
    </row>
    <row r="15" spans="1:20" x14ac:dyDescent="0.2">
      <c r="A15" t="s">
        <v>6</v>
      </c>
      <c r="B15" s="2">
        <v>2</v>
      </c>
      <c r="C15" s="1">
        <v>43434</v>
      </c>
      <c r="D15" s="4">
        <v>2116056</v>
      </c>
      <c r="E15" s="49">
        <v>169.34899999999999</v>
      </c>
      <c r="F15" s="50">
        <v>4599.2309999999998</v>
      </c>
      <c r="G15" s="50">
        <v>87.384</v>
      </c>
      <c r="H15" s="47">
        <f t="shared" ref="H15:H19" si="11">E15+F15+G15</f>
        <v>4855.9639999999999</v>
      </c>
      <c r="I15" s="24">
        <f t="shared" ref="I15:I19" si="12">(H15/60)/D15*1000000</f>
        <v>38.246971409704344</v>
      </c>
      <c r="J15" s="24"/>
    </row>
    <row r="16" spans="1:20" x14ac:dyDescent="0.2">
      <c r="A16" t="s">
        <v>7</v>
      </c>
      <c r="B16" s="2">
        <v>3</v>
      </c>
      <c r="C16" s="1">
        <v>43434</v>
      </c>
      <c r="D16" s="4">
        <v>2448737</v>
      </c>
      <c r="E16" s="49">
        <v>147.20500000000001</v>
      </c>
      <c r="F16" s="50">
        <v>4848.951</v>
      </c>
      <c r="G16" s="50">
        <v>101.928</v>
      </c>
      <c r="H16" s="47">
        <f t="shared" si="11"/>
        <v>5098.0839999999998</v>
      </c>
      <c r="I16" s="24">
        <f t="shared" si="12"/>
        <v>34.698731087359185</v>
      </c>
      <c r="J16" s="24"/>
    </row>
    <row r="17" spans="1:10" x14ac:dyDescent="0.2">
      <c r="A17" t="s">
        <v>8</v>
      </c>
      <c r="B17" s="2">
        <v>1</v>
      </c>
      <c r="C17" s="1">
        <v>43581</v>
      </c>
      <c r="D17" s="4">
        <v>1388788</v>
      </c>
      <c r="E17" s="49">
        <v>117.905</v>
      </c>
      <c r="F17" s="50">
        <v>4074.4479999999999</v>
      </c>
      <c r="G17" s="50">
        <v>58.536999999999999</v>
      </c>
      <c r="H17" s="47">
        <f t="shared" si="11"/>
        <v>4250.8900000000003</v>
      </c>
      <c r="I17" s="24">
        <f t="shared" si="12"/>
        <v>51.014385684976162</v>
      </c>
      <c r="J17" s="24"/>
    </row>
    <row r="18" spans="1:10" x14ac:dyDescent="0.2">
      <c r="A18" t="s">
        <v>9</v>
      </c>
      <c r="B18" s="2">
        <v>2</v>
      </c>
      <c r="C18" s="1">
        <v>43581</v>
      </c>
      <c r="D18" s="4">
        <v>1557764</v>
      </c>
      <c r="E18" s="49">
        <v>134.75200000000001</v>
      </c>
      <c r="F18" s="50">
        <v>4293.866</v>
      </c>
      <c r="G18" s="50">
        <v>59.515999999999998</v>
      </c>
      <c r="H18" s="47">
        <f t="shared" si="11"/>
        <v>4488.134</v>
      </c>
      <c r="I18" s="24">
        <f t="shared" si="12"/>
        <v>48.018976772690429</v>
      </c>
      <c r="J18" s="24"/>
    </row>
    <row r="19" spans="1:10" x14ac:dyDescent="0.2">
      <c r="A19" s="10" t="s">
        <v>10</v>
      </c>
      <c r="B19" s="11">
        <v>3</v>
      </c>
      <c r="C19" s="12">
        <v>43581</v>
      </c>
      <c r="D19" s="13">
        <v>2763351</v>
      </c>
      <c r="E19" s="51">
        <v>173.333</v>
      </c>
      <c r="F19" s="52">
        <v>5178.9759999999997</v>
      </c>
      <c r="G19" s="52">
        <v>107.97499999999999</v>
      </c>
      <c r="H19" s="48">
        <f t="shared" si="11"/>
        <v>5460.2839999999997</v>
      </c>
      <c r="I19" s="39">
        <f t="shared" si="12"/>
        <v>32.932744820811159</v>
      </c>
      <c r="J19" s="24"/>
    </row>
    <row r="20" spans="1:10" x14ac:dyDescent="0.2">
      <c r="A20" s="15"/>
      <c r="B20" s="15"/>
      <c r="C20" s="15" t="s">
        <v>17</v>
      </c>
      <c r="D20" s="20"/>
      <c r="E20" s="32"/>
      <c r="H20" s="32"/>
      <c r="I20" s="24">
        <f>AVERAGE(I14:I19)</f>
        <v>39.456742705333745</v>
      </c>
      <c r="J20" s="24"/>
    </row>
    <row r="21" spans="1:10" x14ac:dyDescent="0.2">
      <c r="A21" s="10"/>
      <c r="B21" s="10"/>
      <c r="C21" s="10" t="s">
        <v>18</v>
      </c>
      <c r="D21" s="21"/>
      <c r="E21" s="35"/>
      <c r="F21" s="10"/>
      <c r="G21" s="10"/>
      <c r="H21" s="35"/>
      <c r="I21" s="39">
        <f>STDEV(I14:I19)</f>
        <v>8.1454721826657455</v>
      </c>
      <c r="J21" s="24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Trimmomatic</vt:lpstr>
      <vt:lpstr>HISAT2</vt:lpstr>
      <vt:lpstr>STAR</vt:lpstr>
      <vt:lpstr>EAGLE-RC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jsun</dc:creator>
  <cp:lastModifiedBy>jsun</cp:lastModifiedBy>
  <dcterms:created xsi:type="dcterms:W3CDTF">2020-05-16T00:01:00Z</dcterms:created>
  <dcterms:modified xsi:type="dcterms:W3CDTF">2020-11-23T02:49:36Z</dcterms:modified>
</cp:coreProperties>
</file>