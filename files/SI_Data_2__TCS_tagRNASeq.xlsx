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onk414/Desktop/"/>
    </mc:Choice>
  </mc:AlternateContent>
  <xr:revisionPtr revIDLastSave="0" documentId="13_ncr:1_{0ACE14B4-823E-FF4B-998A-BF87794AAFC2}" xr6:coauthVersionLast="46" xr6:coauthVersionMax="46" xr10:uidLastSave="{00000000-0000-0000-0000-000000000000}"/>
  <bookViews>
    <workbookView xWindow="4640" yWindow="600" windowWidth="22500" windowHeight="16380" activeTab="2" xr2:uid="{0A1B866E-BAB2-5B48-9BA1-056163FF4A88}"/>
  </bookViews>
  <sheets>
    <sheet name="Trimmomatic" sheetId="1" r:id="rId1"/>
    <sheet name="HISAT2" sheetId="2" r:id="rId2"/>
    <sheet name="STAR" sheetId="4" r:id="rId3"/>
    <sheet name="EAGLE-RC" sheetId="3" r:id="rId4"/>
    <sheet name="EAGLE-RC(ngi)" sheetId="6" r:id="rId5"/>
    <sheet name="Sheet1" sheetId="7" r:id="rId6"/>
    <sheet name="Overlap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Q3" i="4" l="1"/>
  <c r="Q4" i="4"/>
  <c r="Q5" i="4"/>
  <c r="Q6" i="4"/>
  <c r="Q7" i="4"/>
  <c r="Q2" i="4"/>
  <c r="R4" i="4"/>
  <c r="H19" i="6"/>
  <c r="I19" i="6" s="1"/>
  <c r="H18" i="6"/>
  <c r="I18" i="6" s="1"/>
  <c r="H17" i="6"/>
  <c r="I17" i="6" s="1"/>
  <c r="H16" i="6"/>
  <c r="I16" i="6" s="1"/>
  <c r="H15" i="6"/>
  <c r="I15" i="6" s="1"/>
  <c r="H14" i="6"/>
  <c r="I14" i="6" s="1"/>
  <c r="T7" i="6"/>
  <c r="S7" i="6"/>
  <c r="R7" i="6"/>
  <c r="Q7" i="6"/>
  <c r="M7" i="6"/>
  <c r="J7" i="6"/>
  <c r="G7" i="6"/>
  <c r="T6" i="6"/>
  <c r="S6" i="6"/>
  <c r="R6" i="6"/>
  <c r="Q6" i="6"/>
  <c r="M6" i="6"/>
  <c r="J6" i="6"/>
  <c r="G6" i="6"/>
  <c r="T5" i="6"/>
  <c r="S5" i="6"/>
  <c r="S9" i="6" s="1"/>
  <c r="R5" i="6"/>
  <c r="Q5" i="6"/>
  <c r="M5" i="6"/>
  <c r="J5" i="6"/>
  <c r="G5" i="6"/>
  <c r="T4" i="6"/>
  <c r="S4" i="6"/>
  <c r="R4" i="6"/>
  <c r="Q4" i="6"/>
  <c r="M4" i="6"/>
  <c r="J4" i="6"/>
  <c r="G4" i="6"/>
  <c r="T3" i="6"/>
  <c r="S3" i="6"/>
  <c r="R3" i="6"/>
  <c r="Q3" i="6"/>
  <c r="M3" i="6"/>
  <c r="J3" i="6"/>
  <c r="G3" i="6"/>
  <c r="T2" i="6"/>
  <c r="S2" i="6"/>
  <c r="R2" i="6"/>
  <c r="Q2" i="6"/>
  <c r="M2" i="6"/>
  <c r="J2" i="6"/>
  <c r="G2" i="6"/>
  <c r="D29" i="5"/>
  <c r="C29" i="5"/>
  <c r="B29" i="5"/>
  <c r="D28" i="5"/>
  <c r="C28" i="5"/>
  <c r="B28" i="5"/>
  <c r="D27" i="5"/>
  <c r="C27" i="5"/>
  <c r="B27" i="5"/>
  <c r="D26" i="5"/>
  <c r="C26" i="5"/>
  <c r="B26" i="5"/>
  <c r="D25" i="5"/>
  <c r="C25" i="5"/>
  <c r="B25" i="5"/>
  <c r="D24" i="5"/>
  <c r="D31" i="5" s="1"/>
  <c r="C24" i="5"/>
  <c r="B24" i="5"/>
  <c r="D18" i="5"/>
  <c r="C18" i="5"/>
  <c r="B18" i="5"/>
  <c r="D17" i="5"/>
  <c r="C17" i="5"/>
  <c r="B17" i="5"/>
  <c r="D16" i="5"/>
  <c r="C16" i="5"/>
  <c r="B16" i="5"/>
  <c r="D15" i="5"/>
  <c r="D19" i="5" s="1"/>
  <c r="C15" i="5"/>
  <c r="B15" i="5"/>
  <c r="D14" i="5"/>
  <c r="C14" i="5"/>
  <c r="B14" i="5"/>
  <c r="D13" i="5"/>
  <c r="C13" i="5"/>
  <c r="B13" i="5"/>
  <c r="B19" i="5" s="1"/>
  <c r="T3" i="3"/>
  <c r="I3" i="2"/>
  <c r="S4" i="2"/>
  <c r="Q7" i="2"/>
  <c r="R7" i="2" s="1"/>
  <c r="Q6" i="2"/>
  <c r="R6" i="2" s="1"/>
  <c r="Q5" i="2"/>
  <c r="R5" i="2" s="1"/>
  <c r="Q4" i="2"/>
  <c r="R4" i="2" s="1"/>
  <c r="Q3" i="2"/>
  <c r="R3" i="2" s="1"/>
  <c r="Q2" i="2"/>
  <c r="R2" i="2" s="1"/>
  <c r="Q9" i="6" l="1"/>
  <c r="S8" i="6"/>
  <c r="R9" i="6"/>
  <c r="T9" i="6"/>
  <c r="T8" i="6"/>
  <c r="I21" i="6"/>
  <c r="I20" i="6"/>
  <c r="Q8" i="6"/>
  <c r="R8" i="6"/>
  <c r="C19" i="5"/>
  <c r="D20" i="5"/>
  <c r="B30" i="5"/>
  <c r="D30" i="5"/>
  <c r="C30" i="5"/>
  <c r="B20" i="5"/>
  <c r="B31" i="5"/>
  <c r="C20" i="5"/>
  <c r="C31" i="5"/>
  <c r="S2" i="4"/>
  <c r="H15" i="3"/>
  <c r="H16" i="3"/>
  <c r="H17" i="3"/>
  <c r="H18" i="3"/>
  <c r="H19" i="3"/>
  <c r="H14" i="3"/>
  <c r="G3" i="3"/>
  <c r="M2" i="3"/>
  <c r="M3" i="3"/>
  <c r="M4" i="3"/>
  <c r="M5" i="3"/>
  <c r="M6" i="3"/>
  <c r="M7" i="3"/>
  <c r="E3" i="4"/>
  <c r="R3" i="4" s="1"/>
  <c r="E4" i="4"/>
  <c r="E5" i="4"/>
  <c r="R5" i="4" s="1"/>
  <c r="E6" i="4"/>
  <c r="R6" i="4" s="1"/>
  <c r="E7" i="4"/>
  <c r="R7" i="4" s="1"/>
  <c r="E2" i="4"/>
  <c r="R2" i="4" s="1"/>
  <c r="H5" i="4"/>
  <c r="H6" i="4"/>
  <c r="G3" i="2"/>
  <c r="G4" i="2"/>
  <c r="G5" i="2"/>
  <c r="G6" i="2"/>
  <c r="G7" i="2"/>
  <c r="G2" i="2"/>
  <c r="S7" i="2"/>
  <c r="S6" i="2"/>
  <c r="S3" i="4"/>
  <c r="S4" i="4"/>
  <c r="S5" i="4"/>
  <c r="S6" i="4"/>
  <c r="S7" i="4"/>
  <c r="M3" i="4"/>
  <c r="M5" i="4"/>
  <c r="M7" i="4"/>
  <c r="N3" i="4"/>
  <c r="O3" i="4"/>
  <c r="M4" i="4"/>
  <c r="N4" i="4"/>
  <c r="O4" i="4"/>
  <c r="N5" i="4"/>
  <c r="O5" i="4"/>
  <c r="M6" i="4"/>
  <c r="N6" i="4"/>
  <c r="O6" i="4"/>
  <c r="N7" i="4"/>
  <c r="O7" i="4"/>
  <c r="M2" i="4"/>
  <c r="P9" i="4"/>
  <c r="P8" i="4"/>
  <c r="I7" i="4"/>
  <c r="H7" i="4"/>
  <c r="I6" i="4"/>
  <c r="I5" i="4"/>
  <c r="I4" i="4"/>
  <c r="H4" i="4"/>
  <c r="I3" i="4"/>
  <c r="H3" i="4"/>
  <c r="O2" i="4"/>
  <c r="N2" i="4"/>
  <c r="I2" i="4"/>
  <c r="H2" i="4"/>
  <c r="Q9" i="4" l="1"/>
  <c r="Q8" i="4"/>
  <c r="R9" i="4"/>
  <c r="H9" i="4"/>
  <c r="I8" i="4"/>
  <c r="M9" i="4"/>
  <c r="S9" i="4"/>
  <c r="N9" i="4"/>
  <c r="O9" i="4"/>
  <c r="M8" i="4"/>
  <c r="N8" i="4"/>
  <c r="I9" i="4"/>
  <c r="R8" i="4"/>
  <c r="H8" i="4"/>
  <c r="O8" i="4"/>
  <c r="S8" i="4"/>
  <c r="S3" i="2"/>
  <c r="S5" i="2"/>
  <c r="S2" i="2"/>
  <c r="T4" i="3"/>
  <c r="T5" i="3"/>
  <c r="T6" i="3"/>
  <c r="T7" i="3"/>
  <c r="T2" i="3"/>
  <c r="T8" i="3" s="1"/>
  <c r="T9" i="3" l="1"/>
  <c r="S9" i="2"/>
  <c r="S8" i="2"/>
  <c r="I4" i="2" l="1"/>
  <c r="I5" i="2"/>
  <c r="I6" i="2"/>
  <c r="I7" i="2"/>
  <c r="I2" i="2"/>
  <c r="P8" i="2"/>
  <c r="P9" i="2"/>
  <c r="Q9" i="2"/>
  <c r="M3" i="2"/>
  <c r="N3" i="2"/>
  <c r="O3" i="2"/>
  <c r="M4" i="2"/>
  <c r="N4" i="2"/>
  <c r="O4" i="2"/>
  <c r="M5" i="2"/>
  <c r="N5" i="2"/>
  <c r="O5" i="2"/>
  <c r="M6" i="2"/>
  <c r="N6" i="2"/>
  <c r="O6" i="2"/>
  <c r="M7" i="2"/>
  <c r="N7" i="2"/>
  <c r="O7" i="2"/>
  <c r="O2" i="2"/>
  <c r="N2" i="2"/>
  <c r="M2" i="2"/>
  <c r="H7" i="2"/>
  <c r="H4" i="2"/>
  <c r="H5" i="2"/>
  <c r="H6" i="2"/>
  <c r="H3" i="2"/>
  <c r="H2" i="2"/>
  <c r="I8" i="2" l="1"/>
  <c r="H9" i="2"/>
  <c r="R9" i="2"/>
  <c r="I9" i="2"/>
  <c r="H8" i="2"/>
  <c r="R8" i="2"/>
  <c r="Q8" i="2"/>
  <c r="O8" i="2"/>
  <c r="N8" i="2"/>
  <c r="O9" i="2"/>
  <c r="N9" i="2"/>
  <c r="I15" i="3" l="1"/>
  <c r="I16" i="3"/>
  <c r="I17" i="3"/>
  <c r="I18" i="3"/>
  <c r="I19" i="3"/>
  <c r="I14" i="3"/>
  <c r="J3" i="3"/>
  <c r="J4" i="3"/>
  <c r="J5" i="3"/>
  <c r="J6" i="3"/>
  <c r="J7" i="3"/>
  <c r="J2" i="3"/>
  <c r="G4" i="3"/>
  <c r="G5" i="3"/>
  <c r="G6" i="3"/>
  <c r="G7" i="3"/>
  <c r="G2" i="3"/>
  <c r="S7" i="3"/>
  <c r="R7" i="3"/>
  <c r="Q7" i="3"/>
  <c r="S6" i="3"/>
  <c r="R6" i="3"/>
  <c r="Q6" i="3"/>
  <c r="S5" i="3"/>
  <c r="R5" i="3"/>
  <c r="Q5" i="3"/>
  <c r="S4" i="3"/>
  <c r="R4" i="3"/>
  <c r="Q4" i="3"/>
  <c r="S3" i="3"/>
  <c r="R3" i="3"/>
  <c r="Q3" i="3"/>
  <c r="S2" i="3"/>
  <c r="R2" i="3"/>
  <c r="Q2" i="3"/>
  <c r="S8" i="3" l="1"/>
  <c r="Q9" i="3"/>
  <c r="R8" i="3"/>
  <c r="R9" i="3"/>
  <c r="I21" i="3"/>
  <c r="S9" i="3"/>
  <c r="Q8" i="3"/>
  <c r="I20" i="3"/>
  <c r="E8" i="1" l="1"/>
  <c r="E9" i="1"/>
  <c r="D9" i="1"/>
  <c r="D8" i="1"/>
  <c r="F3" i="1"/>
  <c r="F4" i="1"/>
  <c r="F5" i="1"/>
  <c r="F6" i="1"/>
  <c r="F7" i="1"/>
  <c r="F2" i="1"/>
  <c r="F8" i="1" s="1"/>
  <c r="F9" i="1" l="1"/>
  <c r="M9" i="2"/>
  <c r="M8" i="2"/>
</calcChain>
</file>

<file path=xl/sharedStrings.xml><?xml version="1.0" encoding="utf-8"?>
<sst xmlns="http://schemas.openxmlformats.org/spreadsheetml/2006/main" count="220" uniqueCount="69">
  <si>
    <t>library name</t>
  </si>
  <si>
    <t>replicate</t>
  </si>
  <si>
    <t>sampling date</t>
  </si>
  <si>
    <t>#reads in FASTQ</t>
  </si>
  <si>
    <t>#reads after QC</t>
  </si>
  <si>
    <t>TaeRS2728_g086</t>
  </si>
  <si>
    <t>TaeRS2728_g160</t>
  </si>
  <si>
    <t>TaeRS2728_g167</t>
  </si>
  <si>
    <t>TaeRS2728_g091</t>
  </si>
  <si>
    <t>TaeRS2728_g165</t>
  </si>
  <si>
    <t>TaeRS2728_g172</t>
  </si>
  <si>
    <t>input</t>
  </si>
  <si>
    <t>uniquely mapped on A</t>
  </si>
  <si>
    <t>uniquely mapped on B</t>
  </si>
  <si>
    <t>uniquely mapped on D</t>
  </si>
  <si>
    <t>uniquely mapped</t>
  </si>
  <si>
    <t>E/D</t>
  </si>
  <si>
    <t>average</t>
  </si>
  <si>
    <t>s.d</t>
  </si>
  <si>
    <t>* F: percentage of reads that uniquely mapped on one of A, B, D subgenomes.</t>
  </si>
  <si>
    <t>%A</t>
  </si>
  <si>
    <t>%B</t>
  </si>
  <si>
    <t>%D</t>
  </si>
  <si>
    <t>multi-loci on A</t>
  </si>
  <si>
    <t>unmapped on A</t>
  </si>
  <si>
    <t>multi-loci on B</t>
  </si>
  <si>
    <t>unmapped on B</t>
  </si>
  <si>
    <t>multi-loci on D</t>
  </si>
  <si>
    <t>unmapped on D</t>
  </si>
  <si>
    <t>A reads</t>
  </si>
  <si>
    <t>B reads</t>
  </si>
  <si>
    <t>D reads</t>
  </si>
  <si>
    <t>Execution time</t>
  </si>
  <si>
    <t>total time</t>
  </si>
  <si>
    <t>time [min/1M reads]</t>
  </si>
  <si>
    <t>unmapped</t>
  </si>
  <si>
    <t>multi-mapped</t>
  </si>
  <si>
    <t>F / (F+G)</t>
  </si>
  <si>
    <t>time</t>
  </si>
  <si>
    <t>time [sec/1M reads]</t>
  </si>
  <si>
    <t>sampling_date</t>
  </si>
  <si>
    <t>%F</t>
  </si>
  <si>
    <t>% homeolog reads</t>
  </si>
  <si>
    <t>* percentage of input reads that classified as A, B, D-origin</t>
  </si>
  <si>
    <t>single-end 150 bp</t>
  </si>
  <si>
    <t>STAR step</t>
  </si>
  <si>
    <t>EAGLE step</t>
  </si>
  <si>
    <t>EAGLE-RC step</t>
  </si>
  <si>
    <t>%(A+B+D)</t>
  </si>
  <si>
    <t>A-origin reads</t>
  </si>
  <si>
    <t>B-origin reads</t>
  </si>
  <si>
    <t>D-origin reads</t>
  </si>
  <si>
    <t>HISAT2</t>
  </si>
  <si>
    <t>HISAT2 U EAGLE-RC</t>
  </si>
  <si>
    <t>EAGLE-RC</t>
  </si>
  <si>
    <t>Jaccard index</t>
  </si>
  <si>
    <t>Simpson index</t>
  </si>
  <si>
    <t>/home/jqsun/projects/HuoberBrezel/data/tagseq/clean_fastq/20181109.A-TaeRS_1_Tae_RS1_16.clean.fastq.gz</t>
  </si>
  <si>
    <t>/home/jqsun/projects/HuoberBrezel/data/tagseq/clean_fastq/20181109.A-TaeRS_1_Tae_RS1_17.clean.fastq.gz</t>
  </si>
  <si>
    <t>/home/jqsun/projects/HuoberBrezel/data/tagseq/clean_fastq/20181109.A-TaeRS_1_Tae_RS1_18.clean.fastq.gz</t>
  </si>
  <si>
    <t>/home/jqsun/projects/HuoberBrezel/data/tagseq/clean_fastq/20181109.A-TaeRS_1_Tae_RS1_1.clean.fastq.gz</t>
  </si>
  <si>
    <t>/home/jqsun/projects/HuoberBrezel/data/tagseq/clean_fastq/20181109.A-TaeRS_1_Tae_RS1_2.clean.fastq.gz</t>
  </si>
  <si>
    <t>/home/jqsun/projects/HuoberBrezel/data/tagseq/clean_fastq/20181109.A-TaeRS_1_Tae_RS1_3.clean.fastq.gz</t>
  </si>
  <si>
    <t>/home/jqsun/projects/HuoberBrezel/data/tagseq/clean_fastq/TaeRS2728_g086.clean.fastq.gz</t>
  </si>
  <si>
    <t>/home/jqsun/projects/HuoberBrezel/data/tagseq/clean_fastq/TaeRS2728_g091.clean.fastq.gz</t>
  </si>
  <si>
    <t>/home/jqsun/projects/HuoberBrezel/data/tagseq/clean_fastq/TaeRS2728_g160.clean.fastq.gz</t>
  </si>
  <si>
    <t>/home/jqsun/projects/HuoberBrezel/data/tagseq/clean_fastq/TaeRS2728_g165.clean.fastq.gz</t>
  </si>
  <si>
    <t>/home/jqsun/projects/HuoberBrezel/data/tagseq/clean_fastq/TaeRS2728_g167.clean.fastq.gz</t>
  </si>
  <si>
    <t>/home/jqsun/projects/HuoberBrezel/data/tagseq/clean_fastq/TaeRS2728_g172.clean.fastq.gz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</si>
</sst>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43" formatCode="_(* #,##0.00_);_(* \(#,##0.00\);_(* &quot;-&quot;??_);_(@_)"/>
    <numFmt numFmtId="164" formatCode="_(* #,##0.0_);_(* \(#,##0.0\);_(* &quot;-&quot;_);_(@_)"/>
    <numFmt numFmtId="165" formatCode="_(* #,##0.00_);_(* \(#,##0.00\);_(* &quot;-&quot;_);_(@_)"/>
    <numFmt numFmtId="166" formatCode="0.000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14" fontId="0" fillId="0" borderId="0" xfId="0" applyNumberFormat="1"/>
    <xf numFmtId="0" fontId="0" fillId="0" borderId="0" xfId="0" applyNumberFormat="1"/>
    <xf numFmtId="10" fontId="0" fillId="0" borderId="0" xfId="2" applyNumberFormat="1" applyFont="1"/>
    <xf numFmtId="41" fontId="0" fillId="0" borderId="0" xfId="1" applyFont="1"/>
    <xf numFmtId="0" fontId="0" fillId="0" borderId="0" xfId="0" applyBorder="1"/>
    <xf numFmtId="0" fontId="0" fillId="0" borderId="0" xfId="0" applyNumberFormat="1" applyBorder="1"/>
    <xf numFmtId="14" fontId="0" fillId="0" borderId="0" xfId="0" applyNumberFormat="1" applyBorder="1"/>
    <xf numFmtId="41" fontId="0" fillId="0" borderId="0" xfId="1" applyFont="1" applyBorder="1"/>
    <xf numFmtId="10" fontId="0" fillId="0" borderId="0" xfId="2" applyNumberFormat="1" applyFont="1" applyBorder="1"/>
    <xf numFmtId="0" fontId="0" fillId="0" borderId="1" xfId="0" applyBorder="1"/>
    <xf numFmtId="0" fontId="0" fillId="0" borderId="1" xfId="0" applyNumberFormat="1" applyBorder="1"/>
    <xf numFmtId="14" fontId="0" fillId="0" borderId="1" xfId="0" applyNumberFormat="1" applyBorder="1"/>
    <xf numFmtId="41" fontId="0" fillId="0" borderId="1" xfId="1" applyFont="1" applyBorder="1"/>
    <xf numFmtId="10" fontId="0" fillId="0" borderId="1" xfId="2" applyNumberFormat="1" applyFont="1" applyBorder="1"/>
    <xf numFmtId="0" fontId="0" fillId="0" borderId="2" xfId="0" applyBorder="1"/>
    <xf numFmtId="0" fontId="0" fillId="0" borderId="2" xfId="0" applyNumberFormat="1" applyBorder="1"/>
    <xf numFmtId="14" fontId="0" fillId="0" borderId="2" xfId="0" applyNumberFormat="1" applyBorder="1"/>
    <xf numFmtId="41" fontId="0" fillId="0" borderId="2" xfId="1" applyFont="1" applyBorder="1"/>
    <xf numFmtId="10" fontId="0" fillId="0" borderId="2" xfId="2" applyNumberFormat="1" applyFont="1" applyBorder="1"/>
    <xf numFmtId="164" fontId="0" fillId="0" borderId="2" xfId="1" applyNumberFormat="1" applyFont="1" applyBorder="1"/>
    <xf numFmtId="164" fontId="0" fillId="0" borderId="1" xfId="1" applyNumberFormat="1" applyFont="1" applyBorder="1"/>
    <xf numFmtId="164" fontId="0" fillId="0" borderId="0" xfId="1" applyNumberFormat="1" applyFont="1"/>
    <xf numFmtId="165" fontId="0" fillId="0" borderId="1" xfId="1" applyNumberFormat="1" applyFont="1" applyBorder="1"/>
    <xf numFmtId="43" fontId="0" fillId="0" borderId="0" xfId="0" applyNumberFormat="1"/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5" xfId="1" applyFont="1" applyBorder="1"/>
    <xf numFmtId="41" fontId="0" fillId="0" borderId="6" xfId="1" applyFont="1" applyBorder="1"/>
    <xf numFmtId="41" fontId="0" fillId="0" borderId="3" xfId="1" applyFont="1" applyBorder="1"/>
    <xf numFmtId="41" fontId="0" fillId="0" borderId="4" xfId="1" applyFont="1" applyBorder="1"/>
    <xf numFmtId="0" fontId="0" fillId="0" borderId="5" xfId="0" applyBorder="1"/>
    <xf numFmtId="0" fontId="0" fillId="0" borderId="6" xfId="0" applyBorder="1"/>
    <xf numFmtId="10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43" fontId="0" fillId="0" borderId="1" xfId="0" applyNumberFormat="1" applyBorder="1"/>
    <xf numFmtId="165" fontId="0" fillId="0" borderId="2" xfId="1" applyNumberFormat="1" applyFont="1" applyBorder="1"/>
    <xf numFmtId="165" fontId="0" fillId="0" borderId="0" xfId="0" applyNumberFormat="1"/>
    <xf numFmtId="0" fontId="0" fillId="0" borderId="1" xfId="0" applyFill="1" applyBorder="1" applyAlignment="1">
      <alignment horizontal="center" vertical="center"/>
    </xf>
    <xf numFmtId="10" fontId="0" fillId="0" borderId="0" xfId="0" applyNumberFormat="1"/>
    <xf numFmtId="41" fontId="0" fillId="0" borderId="0" xfId="0" applyNumberFormat="1"/>
    <xf numFmtId="41" fontId="0" fillId="0" borderId="0" xfId="1" applyFont="1" applyAlignment="1">
      <alignment horizontal="center" vertical="center"/>
    </xf>
    <xf numFmtId="41" fontId="0" fillId="0" borderId="7" xfId="1" applyFont="1" applyBorder="1"/>
    <xf numFmtId="2" fontId="0" fillId="0" borderId="5" xfId="0" applyNumberFormat="1" applyBorder="1"/>
    <xf numFmtId="2" fontId="0" fillId="0" borderId="3" xfId="0" applyNumberFormat="1" applyBorder="1"/>
    <xf numFmtId="0" fontId="3" fillId="0" borderId="5" xfId="0" applyFont="1" applyBorder="1"/>
    <xf numFmtId="0" fontId="3" fillId="0" borderId="0" xfId="0" applyFont="1"/>
    <xf numFmtId="0" fontId="3" fillId="0" borderId="3" xfId="0" applyFont="1" applyBorder="1"/>
    <xf numFmtId="0" fontId="3" fillId="0" borderId="1" xfId="0" applyFont="1" applyBorder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6" fontId="0" fillId="0" borderId="0" xfId="0" applyNumberFormat="1"/>
    <xf numFmtId="166" fontId="0" fillId="0" borderId="1" xfId="0" applyNumberFormat="1" applyBorder="1"/>
    <xf numFmtId="166" fontId="3" fillId="0" borderId="5" xfId="0" applyNumberFormat="1" applyFont="1" applyBorder="1"/>
    <xf numFmtId="166" fontId="3" fillId="0" borderId="3" xfId="0" applyNumberFormat="1" applyFont="1" applyBorder="1"/>
    <xf numFmtId="0" fontId="0" fillId="0" borderId="0" xfId="0" applyAlignment="1">
      <alignment horizontal="center"/>
    </xf>
  </cellXfs>
  <cellStyles count="3">
    <cellStyle name="Comma [0]" xfId="1" builtinId="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027D-97EE-8C45-84CC-12021653609C}">
  <dimension ref="A1:F9"/>
  <sheetViews>
    <sheetView workbookViewId="0">
      <selection activeCell="F9" sqref="F9"/>
    </sheetView>
  </sheetViews>
  <sheetFormatPr baseColWidth="10" defaultRowHeight="16" x14ac:dyDescent="0.2"/>
  <cols>
    <col min="1" max="1" width="16.83203125" customWidth="1"/>
    <col min="2" max="2" width="9.33203125" customWidth="1"/>
    <col min="3" max="3" width="14.83203125" customWidth="1"/>
    <col min="4" max="5" width="17.3320312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</v>
      </c>
    </row>
    <row r="2" spans="1:6" x14ac:dyDescent="0.2">
      <c r="A2" s="15" t="s">
        <v>5</v>
      </c>
      <c r="B2" s="16">
        <v>1</v>
      </c>
      <c r="C2" s="17">
        <v>43434</v>
      </c>
      <c r="D2" s="18">
        <v>3084269</v>
      </c>
      <c r="E2" s="18">
        <v>2616170</v>
      </c>
      <c r="F2" s="19">
        <f>E2/D2</f>
        <v>0.84823016410047247</v>
      </c>
    </row>
    <row r="3" spans="1:6" x14ac:dyDescent="0.2">
      <c r="A3" s="5" t="s">
        <v>6</v>
      </c>
      <c r="B3" s="6">
        <v>2</v>
      </c>
      <c r="C3" s="7">
        <v>43434</v>
      </c>
      <c r="D3" s="8">
        <v>2552726</v>
      </c>
      <c r="E3" s="8">
        <v>2116056</v>
      </c>
      <c r="F3" s="9">
        <f t="shared" ref="F3:F7" si="0">E3/D3</f>
        <v>0.82893972952835515</v>
      </c>
    </row>
    <row r="4" spans="1:6" x14ac:dyDescent="0.2">
      <c r="A4" s="5" t="s">
        <v>7</v>
      </c>
      <c r="B4" s="6">
        <v>3</v>
      </c>
      <c r="C4" s="7">
        <v>43434</v>
      </c>
      <c r="D4" s="8">
        <v>2978446</v>
      </c>
      <c r="E4" s="8">
        <v>2448737</v>
      </c>
      <c r="F4" s="9">
        <f t="shared" si="0"/>
        <v>0.82215255875043558</v>
      </c>
    </row>
    <row r="5" spans="1:6" x14ac:dyDescent="0.2">
      <c r="A5" s="5" t="s">
        <v>8</v>
      </c>
      <c r="B5" s="6">
        <v>1</v>
      </c>
      <c r="C5" s="7">
        <v>43581</v>
      </c>
      <c r="D5" s="8">
        <v>1768981</v>
      </c>
      <c r="E5" s="8">
        <v>1388788</v>
      </c>
      <c r="F5" s="9">
        <f t="shared" si="0"/>
        <v>0.78507796296285826</v>
      </c>
    </row>
    <row r="6" spans="1:6" x14ac:dyDescent="0.2">
      <c r="A6" s="5" t="s">
        <v>9</v>
      </c>
      <c r="B6" s="6">
        <v>2</v>
      </c>
      <c r="C6" s="7">
        <v>43581</v>
      </c>
      <c r="D6" s="8">
        <v>1911737</v>
      </c>
      <c r="E6" s="8">
        <v>1557764</v>
      </c>
      <c r="F6" s="9">
        <f t="shared" si="0"/>
        <v>0.81484220894401271</v>
      </c>
    </row>
    <row r="7" spans="1:6" x14ac:dyDescent="0.2">
      <c r="A7" s="10" t="s">
        <v>10</v>
      </c>
      <c r="B7" s="11">
        <v>3</v>
      </c>
      <c r="C7" s="12">
        <v>43581</v>
      </c>
      <c r="D7" s="13">
        <v>3421727</v>
      </c>
      <c r="E7" s="13">
        <v>2763351</v>
      </c>
      <c r="F7" s="14">
        <f t="shared" si="0"/>
        <v>0.80758955930733223</v>
      </c>
    </row>
    <row r="8" spans="1:6" x14ac:dyDescent="0.2">
      <c r="C8" t="s">
        <v>17</v>
      </c>
      <c r="D8" s="22">
        <f>AVERAGE(D2:D7)</f>
        <v>2619647.6666666665</v>
      </c>
      <c r="E8" s="22">
        <f t="shared" ref="E8:F8" si="1">AVERAGE(E2:E7)</f>
        <v>2148477.6666666665</v>
      </c>
      <c r="F8" s="3">
        <f t="shared" si="1"/>
        <v>0.81780536393224434</v>
      </c>
    </row>
    <row r="9" spans="1:6" x14ac:dyDescent="0.2">
      <c r="A9" s="10"/>
      <c r="B9" s="10"/>
      <c r="C9" s="10" t="s">
        <v>18</v>
      </c>
      <c r="D9" s="21">
        <f>STDEV(D2:D7)</f>
        <v>665911.44810392556</v>
      </c>
      <c r="E9" s="21">
        <f t="shared" ref="E9:F9" si="2">STDEV(E2:E7)</f>
        <v>568169.55075986462</v>
      </c>
      <c r="F9" s="14">
        <f t="shared" si="2"/>
        <v>2.1226240322400055E-2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96BA6-F537-1449-86D3-547667492817}">
  <dimension ref="A1:S26"/>
  <sheetViews>
    <sheetView topLeftCell="K1" workbookViewId="0">
      <selection activeCell="P14" sqref="P14"/>
    </sheetView>
  </sheetViews>
  <sheetFormatPr baseColWidth="10" defaultRowHeight="16" x14ac:dyDescent="0.2"/>
  <cols>
    <col min="1" max="1" width="16" customWidth="1"/>
    <col min="2" max="2" width="9.83203125" customWidth="1"/>
    <col min="3" max="3" width="14.33203125" customWidth="1"/>
    <col min="4" max="4" width="14.6640625" bestFit="1" customWidth="1"/>
    <col min="5" max="5" width="13.5" customWidth="1"/>
    <col min="6" max="6" width="15.5" customWidth="1"/>
    <col min="7" max="7" width="21" customWidth="1"/>
    <col min="8" max="9" width="11.1640625" customWidth="1"/>
    <col min="10" max="12" width="19" customWidth="1"/>
    <col min="19" max="19" width="19.1640625" customWidth="1"/>
  </cols>
  <sheetData>
    <row r="1" spans="1:19" x14ac:dyDescent="0.2">
      <c r="A1" s="26" t="s">
        <v>0</v>
      </c>
      <c r="B1" s="26" t="s">
        <v>1</v>
      </c>
      <c r="C1" s="26" t="s">
        <v>40</v>
      </c>
      <c r="D1" s="26" t="s">
        <v>11</v>
      </c>
      <c r="E1" s="26" t="s">
        <v>35</v>
      </c>
      <c r="F1" s="26" t="s">
        <v>15</v>
      </c>
      <c r="G1" s="26" t="s">
        <v>36</v>
      </c>
      <c r="H1" s="26" t="s">
        <v>37</v>
      </c>
      <c r="I1" s="26" t="s">
        <v>41</v>
      </c>
      <c r="J1" s="26" t="s">
        <v>12</v>
      </c>
      <c r="K1" s="26" t="s">
        <v>13</v>
      </c>
      <c r="L1" s="26" t="s">
        <v>14</v>
      </c>
      <c r="M1" s="26" t="s">
        <v>20</v>
      </c>
      <c r="N1" s="26" t="s">
        <v>21</v>
      </c>
      <c r="O1" s="26" t="s">
        <v>22</v>
      </c>
      <c r="P1" s="26" t="s">
        <v>38</v>
      </c>
      <c r="Q1" s="26" t="s">
        <v>39</v>
      </c>
      <c r="R1" s="26" t="s">
        <v>34</v>
      </c>
      <c r="S1" s="42" t="s">
        <v>48</v>
      </c>
    </row>
    <row r="2" spans="1:19" x14ac:dyDescent="0.2">
      <c r="A2" t="s">
        <v>5</v>
      </c>
      <c r="B2" s="2">
        <v>1</v>
      </c>
      <c r="C2" s="1">
        <v>43434</v>
      </c>
      <c r="D2" s="4">
        <v>2616170</v>
      </c>
      <c r="E2" s="4">
        <v>336109</v>
      </c>
      <c r="F2" s="4">
        <v>1599211</v>
      </c>
      <c r="G2" s="4">
        <f>D2-E2-F2</f>
        <v>680850</v>
      </c>
      <c r="H2" s="3">
        <f>F2/(F2+G2)</f>
        <v>0.70138956808611697</v>
      </c>
      <c r="I2" s="3">
        <f>F2/D2</f>
        <v>0.61127946578395131</v>
      </c>
      <c r="J2" s="4">
        <v>790953</v>
      </c>
      <c r="K2" s="4">
        <v>751902</v>
      </c>
      <c r="L2" s="4">
        <v>44305</v>
      </c>
      <c r="M2" s="3">
        <f t="shared" ref="M2:M7" si="0">J2/(J2+K2+L2)</f>
        <v>0.49834484235993853</v>
      </c>
      <c r="N2" s="3">
        <f t="shared" ref="N2:N7" si="1">K2/(J2+K2+L2)</f>
        <v>0.47374051765417474</v>
      </c>
      <c r="O2" s="3">
        <f t="shared" ref="O2:O7" si="2">L2/(J2+K2+L2)</f>
        <v>2.7914639985886742E-2</v>
      </c>
      <c r="P2">
        <v>41.125999999999998</v>
      </c>
      <c r="Q2" s="53">
        <f t="shared" ref="Q2:Q7" si="3">P2/E2*1000000</f>
        <v>122.35911564403213</v>
      </c>
      <c r="R2" s="41">
        <f>Q2/60</f>
        <v>2.0393185940672023</v>
      </c>
      <c r="S2" s="3">
        <f t="shared" ref="S2:S7" si="4">(J2+K2+L2)/D2</f>
        <v>0.60667311375025323</v>
      </c>
    </row>
    <row r="3" spans="1:19" x14ac:dyDescent="0.2">
      <c r="A3" t="s">
        <v>6</v>
      </c>
      <c r="B3" s="2">
        <v>2</v>
      </c>
      <c r="C3" s="1">
        <v>43434</v>
      </c>
      <c r="D3" s="4">
        <v>2116056</v>
      </c>
      <c r="E3" s="4">
        <v>315773</v>
      </c>
      <c r="F3" s="4">
        <v>1332780</v>
      </c>
      <c r="G3" s="4">
        <f t="shared" ref="G3:G7" si="5">D3-E3-F3</f>
        <v>467503</v>
      </c>
      <c r="H3" s="3">
        <f>F3/(F3+G3)</f>
        <v>0.74031693905902574</v>
      </c>
      <c r="I3" s="3">
        <f>F3/D3</f>
        <v>0.62984155428778821</v>
      </c>
      <c r="J3" s="4">
        <v>661669</v>
      </c>
      <c r="K3" s="4">
        <v>622426</v>
      </c>
      <c r="L3" s="4">
        <v>38693</v>
      </c>
      <c r="M3" s="3">
        <f t="shared" si="0"/>
        <v>0.5002078942355086</v>
      </c>
      <c r="N3" s="3">
        <f t="shared" si="1"/>
        <v>0.47054100883890693</v>
      </c>
      <c r="O3" s="3">
        <f t="shared" si="2"/>
        <v>2.9251096925584447E-2</v>
      </c>
      <c r="P3">
        <v>37.259</v>
      </c>
      <c r="Q3" s="53">
        <f t="shared" si="3"/>
        <v>117.99298863424042</v>
      </c>
      <c r="R3" s="41">
        <f>Q3/60</f>
        <v>1.9665498105706736</v>
      </c>
      <c r="S3" s="3">
        <f t="shared" si="4"/>
        <v>0.6251195620531782</v>
      </c>
    </row>
    <row r="4" spans="1:19" x14ac:dyDescent="0.2">
      <c r="A4" t="s">
        <v>7</v>
      </c>
      <c r="B4" s="2">
        <v>3</v>
      </c>
      <c r="C4" s="1">
        <v>43434</v>
      </c>
      <c r="D4" s="4">
        <v>2448737</v>
      </c>
      <c r="E4" s="4">
        <v>347903</v>
      </c>
      <c r="F4" s="4">
        <v>1516009</v>
      </c>
      <c r="G4" s="4">
        <f t="shared" si="5"/>
        <v>584825</v>
      </c>
      <c r="H4" s="3">
        <f t="shared" ref="H4:H6" si="6">F4/(F4+G4)</f>
        <v>0.72162246041334066</v>
      </c>
      <c r="I4" s="3">
        <f t="shared" ref="I4:I7" si="7">F4/D4</f>
        <v>0.61909833518258595</v>
      </c>
      <c r="J4" s="4">
        <v>750191</v>
      </c>
      <c r="K4" s="4">
        <v>709650</v>
      </c>
      <c r="L4" s="4">
        <v>44864</v>
      </c>
      <c r="M4" s="3">
        <f t="shared" si="0"/>
        <v>0.49856350580346315</v>
      </c>
      <c r="N4" s="3">
        <f t="shared" si="1"/>
        <v>0.47162068312393457</v>
      </c>
      <c r="O4" s="3">
        <f t="shared" si="2"/>
        <v>2.9815811072602273E-2</v>
      </c>
      <c r="P4">
        <v>40.299999999999997</v>
      </c>
      <c r="Q4" s="53">
        <f t="shared" si="3"/>
        <v>115.83688556867861</v>
      </c>
      <c r="R4" s="41">
        <f t="shared" ref="R4:R6" si="8">Q4/60</f>
        <v>1.9306147594779768</v>
      </c>
      <c r="S4" s="3">
        <f t="shared" si="4"/>
        <v>0.61448207790383369</v>
      </c>
    </row>
    <row r="5" spans="1:19" x14ac:dyDescent="0.2">
      <c r="A5" t="s">
        <v>8</v>
      </c>
      <c r="B5" s="2">
        <v>1</v>
      </c>
      <c r="C5" s="1">
        <v>43581</v>
      </c>
      <c r="D5" s="4">
        <v>1388788</v>
      </c>
      <c r="E5" s="4">
        <v>204373</v>
      </c>
      <c r="F5" s="4">
        <v>858802</v>
      </c>
      <c r="G5" s="4">
        <f t="shared" si="5"/>
        <v>325613</v>
      </c>
      <c r="H5" s="3">
        <f t="shared" si="6"/>
        <v>0.72508537970221587</v>
      </c>
      <c r="I5" s="3">
        <f t="shared" si="7"/>
        <v>0.61838235929457919</v>
      </c>
      <c r="J5" s="4">
        <v>423903</v>
      </c>
      <c r="K5" s="4">
        <v>399891</v>
      </c>
      <c r="L5" s="4">
        <v>28439</v>
      </c>
      <c r="M5" s="3">
        <f t="shared" si="0"/>
        <v>0.49740270559811695</v>
      </c>
      <c r="N5" s="3">
        <f t="shared" si="1"/>
        <v>0.46922731224911496</v>
      </c>
      <c r="O5" s="3">
        <f t="shared" si="2"/>
        <v>3.3369982152768082E-2</v>
      </c>
      <c r="P5">
        <v>30.594000000000001</v>
      </c>
      <c r="Q5" s="53">
        <f t="shared" si="3"/>
        <v>149.6968777676112</v>
      </c>
      <c r="R5" s="41">
        <f t="shared" si="8"/>
        <v>2.4949479627935198</v>
      </c>
      <c r="S5" s="3">
        <f t="shared" si="4"/>
        <v>0.61365233570566569</v>
      </c>
    </row>
    <row r="6" spans="1:19" x14ac:dyDescent="0.2">
      <c r="A6" t="s">
        <v>9</v>
      </c>
      <c r="B6" s="2">
        <v>2</v>
      </c>
      <c r="C6" s="1">
        <v>43581</v>
      </c>
      <c r="D6" s="4">
        <v>1557764</v>
      </c>
      <c r="E6" s="4">
        <v>255480</v>
      </c>
      <c r="F6" s="4">
        <v>933064</v>
      </c>
      <c r="G6" s="4">
        <f t="shared" si="5"/>
        <v>369220</v>
      </c>
      <c r="H6" s="3">
        <f t="shared" si="6"/>
        <v>0.71648273341298829</v>
      </c>
      <c r="I6" s="3">
        <f t="shared" si="7"/>
        <v>0.59897648167501627</v>
      </c>
      <c r="J6" s="4">
        <v>461522</v>
      </c>
      <c r="K6" s="4">
        <v>430957</v>
      </c>
      <c r="L6" s="4">
        <v>32625</v>
      </c>
      <c r="M6" s="3">
        <f t="shared" si="0"/>
        <v>0.49888661166744497</v>
      </c>
      <c r="N6" s="3">
        <f t="shared" si="1"/>
        <v>0.46584708313876061</v>
      </c>
      <c r="O6" s="3">
        <f t="shared" si="2"/>
        <v>3.526630519379443E-2</v>
      </c>
      <c r="P6">
        <v>32.630000000000003</v>
      </c>
      <c r="Q6" s="53">
        <f t="shared" si="3"/>
        <v>127.720369500548</v>
      </c>
      <c r="R6" s="41">
        <f t="shared" si="8"/>
        <v>2.1286728250091334</v>
      </c>
      <c r="S6" s="3">
        <f t="shared" si="4"/>
        <v>0.59386659339925685</v>
      </c>
    </row>
    <row r="7" spans="1:19" x14ac:dyDescent="0.2">
      <c r="A7" s="10" t="s">
        <v>10</v>
      </c>
      <c r="B7" s="11">
        <v>3</v>
      </c>
      <c r="C7" s="12">
        <v>43581</v>
      </c>
      <c r="D7" s="13">
        <v>2763351</v>
      </c>
      <c r="E7" s="4">
        <v>434021</v>
      </c>
      <c r="F7" s="4">
        <v>1595328</v>
      </c>
      <c r="G7" s="4">
        <f t="shared" si="5"/>
        <v>734002</v>
      </c>
      <c r="H7" s="14">
        <f>F7/(F7+G7)</f>
        <v>0.68488707053101106</v>
      </c>
      <c r="I7" s="3">
        <f t="shared" si="7"/>
        <v>0.57731645382725538</v>
      </c>
      <c r="J7" s="13">
        <v>789300</v>
      </c>
      <c r="K7" s="4">
        <v>737033</v>
      </c>
      <c r="L7" s="4">
        <v>55720</v>
      </c>
      <c r="M7" s="3">
        <f t="shared" si="0"/>
        <v>0.4989086964848839</v>
      </c>
      <c r="N7" s="3">
        <f t="shared" si="1"/>
        <v>0.46587124451582851</v>
      </c>
      <c r="O7" s="3">
        <f t="shared" si="2"/>
        <v>3.5220058999287637E-2</v>
      </c>
      <c r="P7">
        <v>44.536000000000001</v>
      </c>
      <c r="Q7" s="53">
        <f t="shared" si="3"/>
        <v>102.61254639752454</v>
      </c>
      <c r="R7" s="41">
        <f>Q7/60</f>
        <v>1.710209106625409</v>
      </c>
      <c r="S7" s="3">
        <f t="shared" si="4"/>
        <v>0.57251250384044594</v>
      </c>
    </row>
    <row r="8" spans="1:19" x14ac:dyDescent="0.2">
      <c r="A8" s="15"/>
      <c r="B8" s="15"/>
      <c r="C8" s="15" t="s">
        <v>17</v>
      </c>
      <c r="D8" s="20"/>
      <c r="E8" s="18"/>
      <c r="F8" s="18"/>
      <c r="G8" s="18"/>
      <c r="H8" s="19">
        <f t="shared" ref="H8:I8" si="9">AVERAGE(H2:H7)</f>
        <v>0.71496402520078306</v>
      </c>
      <c r="I8" s="19">
        <f t="shared" si="9"/>
        <v>0.60914910834186276</v>
      </c>
      <c r="J8" s="18"/>
      <c r="K8" s="18"/>
      <c r="L8" s="18"/>
      <c r="M8" s="19">
        <f t="shared" ref="M8:O8" si="10">AVERAGE(M2:M7)</f>
        <v>0.49871904269155937</v>
      </c>
      <c r="N8" s="19">
        <f t="shared" si="10"/>
        <v>0.4694746415867867</v>
      </c>
      <c r="O8" s="19">
        <f t="shared" si="10"/>
        <v>3.1806315721653933E-2</v>
      </c>
      <c r="P8" s="40">
        <f t="shared" ref="P8:R8" si="11">AVERAGE(P2:P7)</f>
        <v>37.740833333333335</v>
      </c>
      <c r="Q8" s="40">
        <f t="shared" si="11"/>
        <v>122.70313058543915</v>
      </c>
      <c r="R8" s="40">
        <f t="shared" si="11"/>
        <v>2.0450521764239857</v>
      </c>
      <c r="S8" s="19">
        <f t="shared" ref="S8" si="12">AVERAGE(S2:S7)</f>
        <v>0.60438436444210564</v>
      </c>
    </row>
    <row r="9" spans="1:19" x14ac:dyDescent="0.2">
      <c r="A9" s="10"/>
      <c r="B9" s="10"/>
      <c r="C9" s="10" t="s">
        <v>18</v>
      </c>
      <c r="D9" s="21"/>
      <c r="E9" s="13"/>
      <c r="F9" s="13"/>
      <c r="G9" s="13"/>
      <c r="H9" s="14">
        <f t="shared" ref="H9:I9" si="13">STDEV(H2:H7)</f>
        <v>1.9394547585990362E-2</v>
      </c>
      <c r="I9" s="14">
        <f t="shared" si="13"/>
        <v>1.8621256706729025E-2</v>
      </c>
      <c r="J9" s="13"/>
      <c r="K9" s="13"/>
      <c r="L9" s="13"/>
      <c r="M9" s="14">
        <f t="shared" ref="M9" si="14">STDEV(M2:M7)</f>
        <v>9.1407743635186448E-4</v>
      </c>
      <c r="N9" s="14">
        <f t="shared" ref="N9:O9" si="15">STDEV(N2:N7)</f>
        <v>3.1668645239094511E-3</v>
      </c>
      <c r="O9" s="14">
        <f t="shared" si="15"/>
        <v>3.2157927453972468E-3</v>
      </c>
      <c r="P9" s="23">
        <f t="shared" ref="P9:R9" si="16">STDEV(P2:P7)</f>
        <v>5.3218978726265478</v>
      </c>
      <c r="Q9" s="23">
        <f t="shared" si="16"/>
        <v>15.664710341327964</v>
      </c>
      <c r="R9" s="23">
        <f t="shared" si="16"/>
        <v>0.26107850568879809</v>
      </c>
      <c r="S9" s="14">
        <f t="shared" ref="S9" si="17">STDEV(S2:S7)</f>
        <v>1.870553344753648E-2</v>
      </c>
    </row>
    <row r="10" spans="1:19" x14ac:dyDescent="0.2">
      <c r="F10" t="s">
        <v>19</v>
      </c>
      <c r="S10" t="s">
        <v>43</v>
      </c>
    </row>
    <row r="11" spans="1:19" x14ac:dyDescent="0.2">
      <c r="A11" t="s">
        <v>44</v>
      </c>
    </row>
    <row r="19" spans="7:9" x14ac:dyDescent="0.2">
      <c r="G19" s="43"/>
    </row>
    <row r="20" spans="7:9" x14ac:dyDescent="0.2">
      <c r="G20" s="43"/>
    </row>
    <row r="21" spans="7:9" x14ac:dyDescent="0.2">
      <c r="G21" s="43"/>
      <c r="I21" s="43"/>
    </row>
    <row r="22" spans="7:9" x14ac:dyDescent="0.2">
      <c r="G22" s="43"/>
      <c r="I22" s="43"/>
    </row>
    <row r="23" spans="7:9" x14ac:dyDescent="0.2">
      <c r="G23" s="43"/>
      <c r="I23" s="43"/>
    </row>
    <row r="24" spans="7:9" x14ac:dyDescent="0.2">
      <c r="G24" s="43"/>
      <c r="I24" s="43"/>
    </row>
    <row r="25" spans="7:9" x14ac:dyDescent="0.2">
      <c r="I25" s="43"/>
    </row>
    <row r="26" spans="7:9" x14ac:dyDescent="0.2">
      <c r="I26" s="43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48D09-AE0A-CD48-A8B1-FBE91CE136FB}">
  <dimension ref="A1:S10"/>
  <sheetViews>
    <sheetView tabSelected="1" topLeftCell="K1" workbookViewId="0">
      <selection activeCell="Q15" sqref="Q15"/>
    </sheetView>
  </sheetViews>
  <sheetFormatPr baseColWidth="10" defaultRowHeight="16" x14ac:dyDescent="0.2"/>
  <cols>
    <col min="1" max="1" width="16" customWidth="1"/>
    <col min="2" max="2" width="9.83203125" customWidth="1"/>
    <col min="3" max="3" width="14.33203125" customWidth="1"/>
    <col min="4" max="4" width="14.6640625" bestFit="1" customWidth="1"/>
    <col min="5" max="5" width="13.5" customWidth="1"/>
    <col min="6" max="6" width="15.5" customWidth="1"/>
    <col min="7" max="7" width="21" customWidth="1"/>
    <col min="8" max="9" width="11.1640625" customWidth="1"/>
    <col min="10" max="12" width="19" customWidth="1"/>
    <col min="17" max="17" width="20.83203125" customWidth="1"/>
    <col min="19" max="19" width="19.1640625" customWidth="1"/>
  </cols>
  <sheetData>
    <row r="1" spans="1:19" x14ac:dyDescent="0.2">
      <c r="A1" s="26" t="s">
        <v>0</v>
      </c>
      <c r="B1" s="26" t="s">
        <v>1</v>
      </c>
      <c r="C1" s="26" t="s">
        <v>40</v>
      </c>
      <c r="D1" s="26" t="s">
        <v>11</v>
      </c>
      <c r="E1" s="26" t="s">
        <v>35</v>
      </c>
      <c r="F1" s="26" t="s">
        <v>15</v>
      </c>
      <c r="G1" s="26" t="s">
        <v>36</v>
      </c>
      <c r="H1" s="26" t="s">
        <v>37</v>
      </c>
      <c r="I1" s="26" t="s">
        <v>41</v>
      </c>
      <c r="J1" s="26" t="s">
        <v>12</v>
      </c>
      <c r="K1" s="26" t="s">
        <v>13</v>
      </c>
      <c r="L1" s="26" t="s">
        <v>14</v>
      </c>
      <c r="M1" s="26" t="s">
        <v>20</v>
      </c>
      <c r="N1" s="26" t="s">
        <v>21</v>
      </c>
      <c r="O1" s="26" t="s">
        <v>22</v>
      </c>
      <c r="P1" s="26" t="s">
        <v>38</v>
      </c>
      <c r="Q1" s="26" t="s">
        <v>39</v>
      </c>
      <c r="R1" s="26" t="s">
        <v>34</v>
      </c>
      <c r="S1" s="42" t="s">
        <v>42</v>
      </c>
    </row>
    <row r="2" spans="1:19" x14ac:dyDescent="0.2">
      <c r="A2" t="s">
        <v>5</v>
      </c>
      <c r="B2" s="2">
        <v>1</v>
      </c>
      <c r="C2" s="1">
        <v>43434</v>
      </c>
      <c r="D2" s="4">
        <v>2616170</v>
      </c>
      <c r="E2" s="44">
        <f>D2-F2-G2</f>
        <v>129970</v>
      </c>
      <c r="F2" s="4">
        <v>1686193</v>
      </c>
      <c r="G2" s="4">
        <v>800007</v>
      </c>
      <c r="H2" s="3">
        <f>F2/(F2+G2)</f>
        <v>0.67822097980854312</v>
      </c>
      <c r="I2" s="3">
        <f>F2/D2</f>
        <v>0.64452730518276713</v>
      </c>
      <c r="J2" s="4">
        <v>833861</v>
      </c>
      <c r="K2" s="4">
        <v>791543</v>
      </c>
      <c r="L2" s="4">
        <v>48770</v>
      </c>
      <c r="M2" s="3">
        <f t="shared" ref="M2:M7" si="0">J2/(J2+K2+L2)</f>
        <v>0.49807307962015895</v>
      </c>
      <c r="N2" s="3">
        <f t="shared" ref="N2:N7" si="1">K2/(J2+K2+L2)</f>
        <v>0.47279613708013624</v>
      </c>
      <c r="O2" s="3">
        <f t="shared" ref="O2:O7" si="2">L2/(J2+K2+L2)</f>
        <v>2.913078329970481E-2</v>
      </c>
      <c r="P2">
        <v>218.63</v>
      </c>
      <c r="Q2" s="24">
        <f>P2/D2*1000000</f>
        <v>83.568728331874453</v>
      </c>
      <c r="R2" s="41">
        <f>Q2/60</f>
        <v>1.3928121388645742</v>
      </c>
      <c r="S2" s="3">
        <f t="shared" ref="S2:S7" si="3">(J2+K2+L2)/D2</f>
        <v>0.63993318477010286</v>
      </c>
    </row>
    <row r="3" spans="1:19" x14ac:dyDescent="0.2">
      <c r="A3" t="s">
        <v>6</v>
      </c>
      <c r="B3" s="2">
        <v>2</v>
      </c>
      <c r="C3" s="1">
        <v>43434</v>
      </c>
      <c r="D3" s="4">
        <v>2116056</v>
      </c>
      <c r="E3" s="44">
        <f t="shared" ref="E3:E7" si="4">D3-F3-G3</f>
        <v>126248</v>
      </c>
      <c r="F3" s="4">
        <v>1420116</v>
      </c>
      <c r="G3" s="4">
        <v>569692</v>
      </c>
      <c r="H3" s="3">
        <f>F3/(F3+G3)</f>
        <v>0.71369498966734479</v>
      </c>
      <c r="I3" s="3">
        <f t="shared" ref="I3:I7" si="5">F3/D3</f>
        <v>0.67111456407580894</v>
      </c>
      <c r="J3" s="4">
        <v>704097</v>
      </c>
      <c r="K3" s="4">
        <v>662126</v>
      </c>
      <c r="L3" s="4">
        <v>43633</v>
      </c>
      <c r="M3" s="3">
        <f t="shared" si="0"/>
        <v>0.49941057810159334</v>
      </c>
      <c r="N3" s="3">
        <f t="shared" si="1"/>
        <v>0.46964087112442687</v>
      </c>
      <c r="O3" s="3">
        <f t="shared" si="2"/>
        <v>3.0948550773979754E-2</v>
      </c>
      <c r="P3">
        <v>220.864</v>
      </c>
      <c r="Q3" s="24">
        <f t="shared" ref="Q3:Q7" si="6">P3/D3*1000000</f>
        <v>104.37530953812187</v>
      </c>
      <c r="R3" s="41">
        <f>Q3/60</f>
        <v>1.7395884923020311</v>
      </c>
      <c r="S3" s="3">
        <f t="shared" si="3"/>
        <v>0.66626592112874139</v>
      </c>
    </row>
    <row r="4" spans="1:19" x14ac:dyDescent="0.2">
      <c r="A4" t="s">
        <v>7</v>
      </c>
      <c r="B4" s="2">
        <v>3</v>
      </c>
      <c r="C4" s="1">
        <v>43434</v>
      </c>
      <c r="D4" s="4">
        <v>2448737</v>
      </c>
      <c r="E4" s="44">
        <f t="shared" si="4"/>
        <v>139764</v>
      </c>
      <c r="F4" s="4">
        <v>1611965</v>
      </c>
      <c r="G4" s="4">
        <v>697008</v>
      </c>
      <c r="H4" s="3">
        <f t="shared" ref="H4:H6" si="7">F4/(F4+G4)</f>
        <v>0.69813072738399284</v>
      </c>
      <c r="I4" s="3">
        <f t="shared" si="5"/>
        <v>0.65828425020735182</v>
      </c>
      <c r="J4">
        <v>797135</v>
      </c>
      <c r="K4">
        <v>753024</v>
      </c>
      <c r="L4">
        <v>50140</v>
      </c>
      <c r="M4" s="3">
        <f t="shared" si="0"/>
        <v>0.49811628951839626</v>
      </c>
      <c r="N4" s="3">
        <f t="shared" si="1"/>
        <v>0.47055206558274421</v>
      </c>
      <c r="O4" s="3">
        <f t="shared" si="2"/>
        <v>3.1331644898859527E-2</v>
      </c>
      <c r="P4">
        <v>217.822</v>
      </c>
      <c r="Q4" s="24">
        <f t="shared" si="6"/>
        <v>88.952794848936406</v>
      </c>
      <c r="R4" s="41">
        <f>Q4/60</f>
        <v>1.4825465808156069</v>
      </c>
      <c r="S4" s="3">
        <f t="shared" si="3"/>
        <v>0.65352016161800963</v>
      </c>
    </row>
    <row r="5" spans="1:19" x14ac:dyDescent="0.2">
      <c r="A5" t="s">
        <v>8</v>
      </c>
      <c r="B5" s="2">
        <v>1</v>
      </c>
      <c r="C5" s="1">
        <v>43581</v>
      </c>
      <c r="D5" s="4">
        <v>1388788</v>
      </c>
      <c r="E5" s="44">
        <f t="shared" si="4"/>
        <v>77901</v>
      </c>
      <c r="F5" s="4">
        <v>916866</v>
      </c>
      <c r="G5" s="4">
        <v>394021</v>
      </c>
      <c r="H5" s="3">
        <f t="shared" si="7"/>
        <v>0.69942413037889617</v>
      </c>
      <c r="I5" s="3">
        <f t="shared" si="5"/>
        <v>0.66019147630883912</v>
      </c>
      <c r="J5" s="4">
        <v>451609</v>
      </c>
      <c r="K5" s="4">
        <v>425901</v>
      </c>
      <c r="L5" s="4">
        <v>32550</v>
      </c>
      <c r="M5" s="3">
        <f t="shared" si="0"/>
        <v>0.49624090719293235</v>
      </c>
      <c r="N5" s="3">
        <f t="shared" si="1"/>
        <v>0.4679922202931675</v>
      </c>
      <c r="O5" s="3">
        <f t="shared" si="2"/>
        <v>3.5766872513900184E-2</v>
      </c>
      <c r="P5">
        <v>204.60400000000001</v>
      </c>
      <c r="Q5" s="24">
        <f t="shared" si="6"/>
        <v>147.32558173025689</v>
      </c>
      <c r="R5" s="41">
        <f t="shared" ref="R4:R6" si="8">Q5/60</f>
        <v>2.455426362170948</v>
      </c>
      <c r="S5" s="3">
        <f t="shared" si="3"/>
        <v>0.65529080032373554</v>
      </c>
    </row>
    <row r="6" spans="1:19" x14ac:dyDescent="0.2">
      <c r="A6" t="s">
        <v>9</v>
      </c>
      <c r="B6" s="2">
        <v>2</v>
      </c>
      <c r="C6" s="1">
        <v>43581</v>
      </c>
      <c r="D6" s="4">
        <v>1557764</v>
      </c>
      <c r="E6" s="44">
        <f t="shared" si="4"/>
        <v>94086</v>
      </c>
      <c r="F6" s="4">
        <v>999813</v>
      </c>
      <c r="G6" s="4">
        <v>463865</v>
      </c>
      <c r="H6" s="3">
        <f t="shared" si="7"/>
        <v>0.68308261789819891</v>
      </c>
      <c r="I6" s="3">
        <f t="shared" si="5"/>
        <v>0.64182571942861688</v>
      </c>
      <c r="J6" s="4">
        <v>492928</v>
      </c>
      <c r="K6" s="4">
        <v>461111</v>
      </c>
      <c r="L6" s="4">
        <v>37301</v>
      </c>
      <c r="M6" s="3">
        <f t="shared" si="0"/>
        <v>0.49723404684568362</v>
      </c>
      <c r="N6" s="3">
        <f t="shared" si="1"/>
        <v>0.46513910464623642</v>
      </c>
      <c r="O6" s="3">
        <f t="shared" si="2"/>
        <v>3.7626848508079971E-2</v>
      </c>
      <c r="P6">
        <v>214.79599999999999</v>
      </c>
      <c r="Q6" s="24">
        <f t="shared" si="6"/>
        <v>137.88738217085512</v>
      </c>
      <c r="R6" s="41">
        <f t="shared" si="8"/>
        <v>2.2981230361809186</v>
      </c>
      <c r="S6" s="3">
        <f t="shared" si="3"/>
        <v>0.63638651297629167</v>
      </c>
    </row>
    <row r="7" spans="1:19" x14ac:dyDescent="0.2">
      <c r="A7" s="10" t="s">
        <v>10</v>
      </c>
      <c r="B7" s="11">
        <v>3</v>
      </c>
      <c r="C7" s="12">
        <v>43581</v>
      </c>
      <c r="D7" s="13">
        <v>2763351</v>
      </c>
      <c r="E7" s="44">
        <f t="shared" si="4"/>
        <v>162694</v>
      </c>
      <c r="F7" s="4">
        <v>1704898</v>
      </c>
      <c r="G7" s="4">
        <v>895759</v>
      </c>
      <c r="H7" s="14">
        <f>F7/(F7+G7)</f>
        <v>0.65556434393309071</v>
      </c>
      <c r="I7" s="3">
        <f t="shared" si="5"/>
        <v>0.61696758754135828</v>
      </c>
      <c r="J7" s="13">
        <v>840689</v>
      </c>
      <c r="K7" s="4">
        <v>787134</v>
      </c>
      <c r="L7" s="4">
        <v>63311</v>
      </c>
      <c r="M7" s="3">
        <f t="shared" si="0"/>
        <v>0.49711554495385935</v>
      </c>
      <c r="N7" s="3">
        <f t="shared" si="1"/>
        <v>0.46544744532367038</v>
      </c>
      <c r="O7" s="3">
        <f t="shared" si="2"/>
        <v>3.7437009722470251E-2</v>
      </c>
      <c r="P7">
        <v>209.374</v>
      </c>
      <c r="Q7" s="24">
        <f t="shared" si="6"/>
        <v>75.768152507589519</v>
      </c>
      <c r="R7" s="41">
        <f>Q7/60</f>
        <v>1.2628025417931588</v>
      </c>
      <c r="S7" s="3">
        <f t="shared" si="3"/>
        <v>0.61198667849288779</v>
      </c>
    </row>
    <row r="8" spans="1:19" x14ac:dyDescent="0.2">
      <c r="A8" s="15"/>
      <c r="B8" s="15"/>
      <c r="C8" s="15" t="s">
        <v>17</v>
      </c>
      <c r="D8" s="20"/>
      <c r="E8" s="18"/>
      <c r="F8" s="18"/>
      <c r="G8" s="18"/>
      <c r="H8" s="19">
        <f t="shared" ref="H8:I8" si="9">AVERAGE(H2:H7)</f>
        <v>0.68801963151167778</v>
      </c>
      <c r="I8" s="19">
        <f t="shared" si="9"/>
        <v>0.64881848379079043</v>
      </c>
      <c r="J8" s="18"/>
      <c r="K8" s="18"/>
      <c r="L8" s="18"/>
      <c r="M8" s="19">
        <f t="shared" ref="M8:S8" si="10">AVERAGE(M2:M7)</f>
        <v>0.49769840770543733</v>
      </c>
      <c r="N8" s="19">
        <f t="shared" si="10"/>
        <v>0.46859464067506362</v>
      </c>
      <c r="O8" s="19">
        <f t="shared" si="10"/>
        <v>3.3706951619499083E-2</v>
      </c>
      <c r="P8" s="40">
        <f t="shared" si="10"/>
        <v>214.34833333333336</v>
      </c>
      <c r="Q8" s="40">
        <f t="shared" si="10"/>
        <v>106.31299152127239</v>
      </c>
      <c r="R8" s="40">
        <f t="shared" si="10"/>
        <v>1.7718831920212061</v>
      </c>
      <c r="S8" s="19">
        <f t="shared" si="10"/>
        <v>0.64389720988496146</v>
      </c>
    </row>
    <row r="9" spans="1:19" x14ac:dyDescent="0.2">
      <c r="A9" s="10"/>
      <c r="B9" s="10"/>
      <c r="C9" s="10" t="s">
        <v>18</v>
      </c>
      <c r="D9" s="21"/>
      <c r="E9" s="13"/>
      <c r="F9" s="13"/>
      <c r="G9" s="13"/>
      <c r="H9" s="14">
        <f t="shared" ref="H9:I9" si="11">STDEV(H2:H7)</f>
        <v>2.0323652432577746E-2</v>
      </c>
      <c r="I9" s="14">
        <f t="shared" si="11"/>
        <v>1.8962349263250144E-2</v>
      </c>
      <c r="J9" s="13"/>
      <c r="K9" s="13"/>
      <c r="L9" s="13"/>
      <c r="M9" s="14">
        <f t="shared" ref="M9:S9" si="12">STDEV(M2:M7)</f>
        <v>1.088687233135081E-3</v>
      </c>
      <c r="N9" s="14">
        <f t="shared" si="12"/>
        <v>2.9928969446708048E-3</v>
      </c>
      <c r="O9" s="14">
        <f t="shared" si="12"/>
        <v>3.6800644802123549E-3</v>
      </c>
      <c r="P9" s="23">
        <f t="shared" si="12"/>
        <v>6.2088545051939033</v>
      </c>
      <c r="Q9" s="23">
        <f t="shared" si="12"/>
        <v>29.780511879123054</v>
      </c>
      <c r="R9" s="23">
        <f t="shared" si="12"/>
        <v>0.49634186465205188</v>
      </c>
      <c r="S9" s="14">
        <f t="shared" si="12"/>
        <v>1.9043006184635641E-2</v>
      </c>
    </row>
    <row r="10" spans="1:19" x14ac:dyDescent="0.2">
      <c r="F10" t="s">
        <v>19</v>
      </c>
      <c r="S10" t="s">
        <v>43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FA49-ED6F-0347-B3D1-43D5EB9D054E}">
  <dimension ref="A1:T21"/>
  <sheetViews>
    <sheetView workbookViewId="0">
      <selection activeCell="I17" sqref="I17"/>
    </sheetView>
  </sheetViews>
  <sheetFormatPr baseColWidth="10" defaultRowHeight="16" x14ac:dyDescent="0.2"/>
  <cols>
    <col min="1" max="1" width="18.83203125" customWidth="1"/>
    <col min="3" max="3" width="14.1640625" customWidth="1"/>
    <col min="4" max="4" width="12.6640625" customWidth="1"/>
    <col min="5" max="12" width="16.1640625" customWidth="1"/>
    <col min="13" max="13" width="14.33203125" customWidth="1"/>
    <col min="14" max="15" width="11.6640625" customWidth="1"/>
    <col min="20" max="20" width="16.6640625" customWidth="1"/>
  </cols>
  <sheetData>
    <row r="1" spans="1:20" x14ac:dyDescent="0.2">
      <c r="A1" s="10" t="s">
        <v>0</v>
      </c>
      <c r="B1" s="10" t="s">
        <v>1</v>
      </c>
      <c r="C1" s="10" t="s">
        <v>2</v>
      </c>
      <c r="D1" s="10" t="s">
        <v>11</v>
      </c>
      <c r="E1" s="25" t="s">
        <v>12</v>
      </c>
      <c r="F1" s="26" t="s">
        <v>23</v>
      </c>
      <c r="G1" s="27" t="s">
        <v>24</v>
      </c>
      <c r="H1" s="26" t="s">
        <v>13</v>
      </c>
      <c r="I1" s="26" t="s">
        <v>25</v>
      </c>
      <c r="J1" s="26" t="s">
        <v>26</v>
      </c>
      <c r="K1" s="25" t="s">
        <v>14</v>
      </c>
      <c r="L1" s="26" t="s">
        <v>27</v>
      </c>
      <c r="M1" s="27" t="s">
        <v>28</v>
      </c>
      <c r="N1" s="26" t="s">
        <v>29</v>
      </c>
      <c r="O1" s="26" t="s">
        <v>30</v>
      </c>
      <c r="P1" s="26" t="s">
        <v>31</v>
      </c>
      <c r="Q1" s="26" t="s">
        <v>20</v>
      </c>
      <c r="R1" s="26" t="s">
        <v>21</v>
      </c>
      <c r="S1" s="26" t="s">
        <v>22</v>
      </c>
      <c r="T1" s="42" t="s">
        <v>48</v>
      </c>
    </row>
    <row r="2" spans="1:20" x14ac:dyDescent="0.2">
      <c r="A2" t="s">
        <v>5</v>
      </c>
      <c r="B2" s="2">
        <v>1</v>
      </c>
      <c r="C2" s="1">
        <v>43434</v>
      </c>
      <c r="D2" s="4">
        <v>2616170</v>
      </c>
      <c r="E2" s="46">
        <v>1803766</v>
      </c>
      <c r="F2" s="8">
        <v>511305</v>
      </c>
      <c r="G2" s="29">
        <f>D2-E2-F2</f>
        <v>301099</v>
      </c>
      <c r="H2" s="4">
        <v>1912244</v>
      </c>
      <c r="I2" s="4">
        <v>382098</v>
      </c>
      <c r="J2" s="4">
        <f>D2-H2-I2</f>
        <v>321828</v>
      </c>
      <c r="K2" s="46">
        <v>1634313</v>
      </c>
      <c r="L2" s="8">
        <v>517307</v>
      </c>
      <c r="M2" s="29">
        <f>D2-K2-L2</f>
        <v>464550</v>
      </c>
      <c r="N2" s="4">
        <v>248150</v>
      </c>
      <c r="O2" s="4">
        <v>259212</v>
      </c>
      <c r="P2" s="4">
        <v>10081</v>
      </c>
      <c r="Q2" s="3">
        <f>N2/(N2+O2+P2)</f>
        <v>0.47956973038576228</v>
      </c>
      <c r="R2" s="3">
        <f>O2/(N2+O2+P2)</f>
        <v>0.5009479304966924</v>
      </c>
      <c r="S2" s="3">
        <f>P2/(N2+O2+P2)</f>
        <v>1.9482339117545315E-2</v>
      </c>
      <c r="T2" s="3">
        <f>(N2+O2+P2)/D2</f>
        <v>0.19778645883103926</v>
      </c>
    </row>
    <row r="3" spans="1:20" x14ac:dyDescent="0.2">
      <c r="A3" t="s">
        <v>6</v>
      </c>
      <c r="B3" s="2">
        <v>2</v>
      </c>
      <c r="C3" s="1">
        <v>43434</v>
      </c>
      <c r="D3" s="4">
        <v>2116056</v>
      </c>
      <c r="E3" s="28">
        <v>1494715</v>
      </c>
      <c r="F3" s="8">
        <v>324255</v>
      </c>
      <c r="G3" s="29">
        <f>D3-E3-F3</f>
        <v>297086</v>
      </c>
      <c r="H3" s="4">
        <v>1509260</v>
      </c>
      <c r="I3" s="4">
        <v>297343</v>
      </c>
      <c r="J3" s="4">
        <f t="shared" ref="J3:J7" si="0">D3-H3-I3</f>
        <v>309453</v>
      </c>
      <c r="K3" s="28">
        <v>1287229</v>
      </c>
      <c r="L3" s="8">
        <v>382481</v>
      </c>
      <c r="M3" s="29">
        <f t="shared" ref="M3:M7" si="1">D3-K3-L3</f>
        <v>446346</v>
      </c>
      <c r="N3" s="4">
        <v>195793</v>
      </c>
      <c r="O3" s="4">
        <v>192989</v>
      </c>
      <c r="P3" s="4">
        <v>7493</v>
      </c>
      <c r="Q3" s="3">
        <f t="shared" ref="Q3:Q7" si="2">N3/(N3+O3+P3)</f>
        <v>0.49408365402813703</v>
      </c>
      <c r="R3" s="3">
        <f t="shared" ref="R3:R7" si="3">O3/(N3+O3+P3)</f>
        <v>0.48700775976279098</v>
      </c>
      <c r="S3" s="3">
        <f t="shared" ref="S3:S7" si="4">P3/(N3+O3+P3)</f>
        <v>1.8908586209071983E-2</v>
      </c>
      <c r="T3" s="3">
        <f>(N3+O3+P3)/D3</f>
        <v>0.18727056372799208</v>
      </c>
    </row>
    <row r="4" spans="1:20" x14ac:dyDescent="0.2">
      <c r="A4" t="s">
        <v>7</v>
      </c>
      <c r="B4" s="2">
        <v>3</v>
      </c>
      <c r="C4" s="1">
        <v>43434</v>
      </c>
      <c r="D4" s="4">
        <v>2448737</v>
      </c>
      <c r="E4" s="28">
        <v>1702856</v>
      </c>
      <c r="F4" s="8">
        <v>419983</v>
      </c>
      <c r="G4" s="29">
        <f t="shared" ref="G4:G7" si="5">D4-E4-F4</f>
        <v>325898</v>
      </c>
      <c r="H4" s="4">
        <v>1764631</v>
      </c>
      <c r="I4" s="4">
        <v>343031</v>
      </c>
      <c r="J4" s="4">
        <f t="shared" si="0"/>
        <v>341075</v>
      </c>
      <c r="K4" s="28">
        <v>1507651</v>
      </c>
      <c r="L4" s="8">
        <v>449492</v>
      </c>
      <c r="M4" s="29">
        <f t="shared" si="1"/>
        <v>491594</v>
      </c>
      <c r="N4" s="4">
        <v>225344</v>
      </c>
      <c r="O4" s="4">
        <v>224867</v>
      </c>
      <c r="P4" s="4">
        <v>8901</v>
      </c>
      <c r="Q4" s="3">
        <f t="shared" si="2"/>
        <v>0.49082576800432137</v>
      </c>
      <c r="R4" s="3">
        <f t="shared" si="3"/>
        <v>0.48978680583387058</v>
      </c>
      <c r="S4" s="3">
        <f t="shared" si="4"/>
        <v>1.9387426161808011E-2</v>
      </c>
      <c r="T4" s="3">
        <f t="shared" ref="T4:T7" si="6">(N4+O4+P4)/D4</f>
        <v>0.18748930571147493</v>
      </c>
    </row>
    <row r="5" spans="1:20" x14ac:dyDescent="0.2">
      <c r="A5" t="s">
        <v>8</v>
      </c>
      <c r="B5" s="2">
        <v>1</v>
      </c>
      <c r="C5" s="1">
        <v>43581</v>
      </c>
      <c r="D5" s="4">
        <v>1388788</v>
      </c>
      <c r="E5" s="28">
        <v>948977</v>
      </c>
      <c r="F5" s="8">
        <v>249104</v>
      </c>
      <c r="G5" s="29">
        <f t="shared" si="5"/>
        <v>190707</v>
      </c>
      <c r="H5" s="4">
        <v>986774</v>
      </c>
      <c r="I5" s="4">
        <v>201038</v>
      </c>
      <c r="J5" s="4">
        <f t="shared" si="0"/>
        <v>200976</v>
      </c>
      <c r="K5" s="28">
        <v>834414</v>
      </c>
      <c r="L5" s="8">
        <v>266179</v>
      </c>
      <c r="M5" s="29">
        <f t="shared" si="1"/>
        <v>288195</v>
      </c>
      <c r="N5" s="4">
        <v>117605</v>
      </c>
      <c r="O5" s="4">
        <v>124596</v>
      </c>
      <c r="P5" s="4">
        <v>6691</v>
      </c>
      <c r="Q5" s="3">
        <f t="shared" si="2"/>
        <v>0.47251418285842856</v>
      </c>
      <c r="R5" s="3">
        <f t="shared" si="3"/>
        <v>0.50060267103804057</v>
      </c>
      <c r="S5" s="3">
        <f t="shared" si="4"/>
        <v>2.6883146103530847E-2</v>
      </c>
      <c r="T5" s="3">
        <f t="shared" si="6"/>
        <v>0.17921525819635539</v>
      </c>
    </row>
    <row r="6" spans="1:20" x14ac:dyDescent="0.2">
      <c r="A6" t="s">
        <v>9</v>
      </c>
      <c r="B6" s="2">
        <v>2</v>
      </c>
      <c r="C6" s="1">
        <v>43581</v>
      </c>
      <c r="D6" s="4">
        <v>1557764</v>
      </c>
      <c r="E6" s="28">
        <v>1051768</v>
      </c>
      <c r="F6" s="8">
        <v>284896</v>
      </c>
      <c r="G6" s="29">
        <f t="shared" si="5"/>
        <v>221100</v>
      </c>
      <c r="H6" s="4">
        <v>1063606</v>
      </c>
      <c r="I6" s="4">
        <v>262566</v>
      </c>
      <c r="J6" s="4">
        <f t="shared" si="0"/>
        <v>231592</v>
      </c>
      <c r="K6" s="28">
        <v>887194</v>
      </c>
      <c r="L6" s="8">
        <v>343033</v>
      </c>
      <c r="M6" s="29">
        <f t="shared" si="1"/>
        <v>327537</v>
      </c>
      <c r="N6" s="4">
        <v>125559</v>
      </c>
      <c r="O6" s="4">
        <v>127968</v>
      </c>
      <c r="P6" s="4">
        <v>6049</v>
      </c>
      <c r="Q6" s="3">
        <f t="shared" si="2"/>
        <v>0.48370804696890313</v>
      </c>
      <c r="R6" s="3">
        <f t="shared" si="3"/>
        <v>0.49298856596911889</v>
      </c>
      <c r="S6" s="3">
        <f t="shared" si="4"/>
        <v>2.3303387061977994E-2</v>
      </c>
      <c r="T6" s="3">
        <f t="shared" si="6"/>
        <v>0.16663371345081796</v>
      </c>
    </row>
    <row r="7" spans="1:20" x14ac:dyDescent="0.2">
      <c r="A7" s="10" t="s">
        <v>10</v>
      </c>
      <c r="B7" s="11">
        <v>3</v>
      </c>
      <c r="C7" s="12">
        <v>43581</v>
      </c>
      <c r="D7" s="13">
        <v>2763351</v>
      </c>
      <c r="E7" s="30">
        <v>1823041</v>
      </c>
      <c r="F7" s="13">
        <v>568665</v>
      </c>
      <c r="G7" s="31">
        <f t="shared" si="5"/>
        <v>371645</v>
      </c>
      <c r="H7" s="13">
        <v>1876405</v>
      </c>
      <c r="I7" s="13">
        <v>497799</v>
      </c>
      <c r="J7" s="13">
        <f t="shared" si="0"/>
        <v>389147</v>
      </c>
      <c r="K7" s="30">
        <v>1555040</v>
      </c>
      <c r="L7" s="13">
        <v>659616</v>
      </c>
      <c r="M7" s="31">
        <f t="shared" si="1"/>
        <v>548695</v>
      </c>
      <c r="N7" s="4">
        <v>216932</v>
      </c>
      <c r="O7" s="4">
        <v>222359</v>
      </c>
      <c r="P7" s="4">
        <v>10176</v>
      </c>
      <c r="Q7" s="3">
        <f t="shared" si="2"/>
        <v>0.4826427746642134</v>
      </c>
      <c r="R7" s="3">
        <f t="shared" si="3"/>
        <v>0.49471707600335507</v>
      </c>
      <c r="S7" s="3">
        <f t="shared" si="4"/>
        <v>2.2640149332431525E-2</v>
      </c>
      <c r="T7" s="3">
        <f t="shared" si="6"/>
        <v>0.1626528805063128</v>
      </c>
    </row>
    <row r="8" spans="1:20" x14ac:dyDescent="0.2">
      <c r="A8" s="15"/>
      <c r="B8" s="15"/>
      <c r="C8" s="15" t="s">
        <v>17</v>
      </c>
      <c r="D8" s="20"/>
      <c r="E8" s="32"/>
      <c r="G8" s="33"/>
      <c r="K8" s="32"/>
      <c r="M8" s="33"/>
      <c r="N8" s="15"/>
      <c r="O8" s="15"/>
      <c r="P8" s="15"/>
      <c r="Q8" s="34">
        <f>AVERAGE(Q2:Q7)</f>
        <v>0.48389069281829428</v>
      </c>
      <c r="R8" s="34">
        <f t="shared" ref="R8:S8" si="7">AVERAGE(R2:R7)</f>
        <v>0.49434180151731139</v>
      </c>
      <c r="S8" s="34">
        <f t="shared" si="7"/>
        <v>2.1767505664394279E-2</v>
      </c>
      <c r="T8" s="19">
        <f t="shared" ref="T8" si="8">AVERAGE(T2:T7)</f>
        <v>0.18017469673733208</v>
      </c>
    </row>
    <row r="9" spans="1:20" x14ac:dyDescent="0.2">
      <c r="A9" s="10"/>
      <c r="B9" s="10"/>
      <c r="C9" s="10" t="s">
        <v>18</v>
      </c>
      <c r="D9" s="21"/>
      <c r="E9" s="35"/>
      <c r="F9" s="10"/>
      <c r="G9" s="36"/>
      <c r="H9" s="10"/>
      <c r="I9" s="10"/>
      <c r="J9" s="10"/>
      <c r="K9" s="35"/>
      <c r="L9" s="10"/>
      <c r="M9" s="36"/>
      <c r="N9" s="10"/>
      <c r="O9" s="10"/>
      <c r="P9" s="10"/>
      <c r="Q9" s="14">
        <f>STDEV(Q2:Q7)</f>
        <v>7.7676004080677197E-3</v>
      </c>
      <c r="R9" s="14">
        <f t="shared" ref="R9:S9" si="9">STDEV(R2:R7)</f>
        <v>5.6453105985374017E-3</v>
      </c>
      <c r="S9" s="14">
        <f t="shared" si="9"/>
        <v>3.1096752492447773E-3</v>
      </c>
      <c r="T9" s="14">
        <f t="shared" ref="T9" si="10">STDEV(T2:T7)</f>
        <v>1.3456015692263944E-2</v>
      </c>
    </row>
    <row r="10" spans="1:20" x14ac:dyDescent="0.2">
      <c r="T10" t="s">
        <v>43</v>
      </c>
    </row>
    <row r="12" spans="1:20" x14ac:dyDescent="0.2">
      <c r="A12" s="37" t="s">
        <v>32</v>
      </c>
    </row>
    <row r="13" spans="1:20" x14ac:dyDescent="0.2">
      <c r="A13" s="10" t="s">
        <v>0</v>
      </c>
      <c r="B13" s="10" t="s">
        <v>1</v>
      </c>
      <c r="C13" s="10" t="s">
        <v>2</v>
      </c>
      <c r="D13" s="10" t="s">
        <v>11</v>
      </c>
      <c r="E13" s="25" t="s">
        <v>45</v>
      </c>
      <c r="F13" s="26" t="s">
        <v>46</v>
      </c>
      <c r="G13" s="26" t="s">
        <v>47</v>
      </c>
      <c r="H13" s="25" t="s">
        <v>33</v>
      </c>
      <c r="I13" s="26" t="s">
        <v>34</v>
      </c>
      <c r="J13" s="38"/>
      <c r="K13" s="45"/>
      <c r="M13" s="38"/>
      <c r="N13" s="45"/>
    </row>
    <row r="14" spans="1:20" x14ac:dyDescent="0.2">
      <c r="A14" t="s">
        <v>5</v>
      </c>
      <c r="B14" s="2">
        <v>1</v>
      </c>
      <c r="C14" s="1">
        <v>43434</v>
      </c>
      <c r="D14" s="4">
        <v>2616170</v>
      </c>
      <c r="E14" s="49">
        <v>150.74600000000001</v>
      </c>
      <c r="F14" s="50">
        <v>4722.08</v>
      </c>
      <c r="G14" s="50">
        <v>123.32299999999999</v>
      </c>
      <c r="H14" s="47">
        <f>E14+F14+G14</f>
        <v>4996.1490000000003</v>
      </c>
      <c r="I14" s="24">
        <f>(H14/60)/D14*1000000</f>
        <v>31.828646456461165</v>
      </c>
      <c r="J14" s="24"/>
      <c r="Q14" s="3"/>
      <c r="R14" s="3"/>
      <c r="S14" s="3"/>
      <c r="T14" s="3"/>
    </row>
    <row r="15" spans="1:20" x14ac:dyDescent="0.2">
      <c r="A15" t="s">
        <v>6</v>
      </c>
      <c r="B15" s="2">
        <v>2</v>
      </c>
      <c r="C15" s="1">
        <v>43434</v>
      </c>
      <c r="D15" s="4">
        <v>2116056</v>
      </c>
      <c r="E15" s="49">
        <v>169.34899999999999</v>
      </c>
      <c r="F15" s="50">
        <v>4599.2309999999998</v>
      </c>
      <c r="G15" s="50">
        <v>87.384</v>
      </c>
      <c r="H15" s="47">
        <f t="shared" ref="H15:H19" si="11">E15+F15+G15</f>
        <v>4855.9639999999999</v>
      </c>
      <c r="I15" s="24">
        <f t="shared" ref="I15:I19" si="12">(H15/60)/D15*1000000</f>
        <v>38.246971409704344</v>
      </c>
      <c r="J15" s="24"/>
    </row>
    <row r="16" spans="1:20" x14ac:dyDescent="0.2">
      <c r="A16" t="s">
        <v>7</v>
      </c>
      <c r="B16" s="2">
        <v>3</v>
      </c>
      <c r="C16" s="1">
        <v>43434</v>
      </c>
      <c r="D16" s="4">
        <v>2448737</v>
      </c>
      <c r="E16" s="49">
        <v>147.20500000000001</v>
      </c>
      <c r="F16" s="50">
        <v>4848.951</v>
      </c>
      <c r="G16" s="50">
        <v>101.928</v>
      </c>
      <c r="H16" s="47">
        <f t="shared" si="11"/>
        <v>5098.0839999999998</v>
      </c>
      <c r="I16" s="24">
        <f t="shared" si="12"/>
        <v>34.698731087359185</v>
      </c>
      <c r="J16" s="24"/>
    </row>
    <row r="17" spans="1:13" x14ac:dyDescent="0.2">
      <c r="A17" t="s">
        <v>8</v>
      </c>
      <c r="B17" s="2">
        <v>1</v>
      </c>
      <c r="C17" s="1">
        <v>43581</v>
      </c>
      <c r="D17" s="4">
        <v>1388788</v>
      </c>
      <c r="E17" s="49">
        <v>117.905</v>
      </c>
      <c r="F17" s="50">
        <v>4074.4479999999999</v>
      </c>
      <c r="G17" s="50">
        <v>58.536999999999999</v>
      </c>
      <c r="H17" s="47">
        <f t="shared" si="11"/>
        <v>4250.8900000000003</v>
      </c>
      <c r="I17" s="24">
        <f t="shared" si="12"/>
        <v>51.014385684976162</v>
      </c>
      <c r="J17" s="24"/>
    </row>
    <row r="18" spans="1:13" x14ac:dyDescent="0.2">
      <c r="A18" t="s">
        <v>9</v>
      </c>
      <c r="B18" s="2">
        <v>2</v>
      </c>
      <c r="C18" s="1">
        <v>43581</v>
      </c>
      <c r="D18" s="4">
        <v>1557764</v>
      </c>
      <c r="E18" s="49">
        <v>134.75200000000001</v>
      </c>
      <c r="F18" s="50">
        <v>4293.866</v>
      </c>
      <c r="G18" s="50">
        <v>59.515999999999998</v>
      </c>
      <c r="H18" s="47">
        <f t="shared" si="11"/>
        <v>4488.134</v>
      </c>
      <c r="I18" s="24">
        <f t="shared" si="12"/>
        <v>48.018976772690429</v>
      </c>
      <c r="J18" s="24"/>
    </row>
    <row r="19" spans="1:13" x14ac:dyDescent="0.2">
      <c r="A19" s="10" t="s">
        <v>10</v>
      </c>
      <c r="B19" s="11">
        <v>3</v>
      </c>
      <c r="C19" s="12">
        <v>43581</v>
      </c>
      <c r="D19" s="13">
        <v>2763351</v>
      </c>
      <c r="E19" s="51">
        <v>173.333</v>
      </c>
      <c r="F19" s="52">
        <v>5178.9759999999997</v>
      </c>
      <c r="G19" s="52">
        <v>107.97499999999999</v>
      </c>
      <c r="H19" s="48">
        <f t="shared" si="11"/>
        <v>5460.2839999999997</v>
      </c>
      <c r="I19" s="39">
        <f t="shared" si="12"/>
        <v>32.932744820811159</v>
      </c>
      <c r="J19" s="24"/>
      <c r="M19" s="5"/>
    </row>
    <row r="20" spans="1:13" x14ac:dyDescent="0.2">
      <c r="A20" s="15"/>
      <c r="B20" s="15"/>
      <c r="C20" s="15" t="s">
        <v>17</v>
      </c>
      <c r="D20" s="20"/>
      <c r="E20" s="32"/>
      <c r="H20" s="32"/>
      <c r="I20" s="24">
        <f>AVERAGE(I14:I19)</f>
        <v>39.456742705333745</v>
      </c>
      <c r="J20" s="24"/>
      <c r="M20" s="5"/>
    </row>
    <row r="21" spans="1:13" x14ac:dyDescent="0.2">
      <c r="A21" s="10"/>
      <c r="B21" s="10"/>
      <c r="C21" s="10" t="s">
        <v>18</v>
      </c>
      <c r="D21" s="21"/>
      <c r="E21" s="35"/>
      <c r="F21" s="10"/>
      <c r="G21" s="10"/>
      <c r="H21" s="35"/>
      <c r="I21" s="39">
        <f>STDEV(I14:I19)</f>
        <v>8.1454721826657455</v>
      </c>
      <c r="J21" s="24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93E5F-4E78-7F49-8C80-32B5F5BBF5F8}">
  <dimension ref="A1:T21"/>
  <sheetViews>
    <sheetView workbookViewId="0">
      <selection activeCell="F24" sqref="F24"/>
    </sheetView>
  </sheetViews>
  <sheetFormatPr baseColWidth="10" defaultRowHeight="16" x14ac:dyDescent="0.2"/>
  <cols>
    <col min="1" max="1" width="18.83203125" customWidth="1"/>
    <col min="3" max="3" width="14.1640625" customWidth="1"/>
    <col min="4" max="4" width="12.6640625" customWidth="1"/>
    <col min="5" max="12" width="16.1640625" customWidth="1"/>
    <col min="13" max="13" width="14.33203125" customWidth="1"/>
    <col min="14" max="15" width="11.6640625" customWidth="1"/>
    <col min="20" max="20" width="16.6640625" customWidth="1"/>
  </cols>
  <sheetData>
    <row r="1" spans="1:20" x14ac:dyDescent="0.2">
      <c r="A1" s="10" t="s">
        <v>0</v>
      </c>
      <c r="B1" s="10" t="s">
        <v>1</v>
      </c>
      <c r="C1" s="10" t="s">
        <v>2</v>
      </c>
      <c r="D1" s="10" t="s">
        <v>11</v>
      </c>
      <c r="E1" s="25" t="s">
        <v>12</v>
      </c>
      <c r="F1" s="26" t="s">
        <v>23</v>
      </c>
      <c r="G1" s="27" t="s">
        <v>24</v>
      </c>
      <c r="H1" s="26" t="s">
        <v>13</v>
      </c>
      <c r="I1" s="26" t="s">
        <v>25</v>
      </c>
      <c r="J1" s="26" t="s">
        <v>26</v>
      </c>
      <c r="K1" s="25" t="s">
        <v>14</v>
      </c>
      <c r="L1" s="26" t="s">
        <v>27</v>
      </c>
      <c r="M1" s="27" t="s">
        <v>28</v>
      </c>
      <c r="N1" s="26" t="s">
        <v>29</v>
      </c>
      <c r="O1" s="26" t="s">
        <v>30</v>
      </c>
      <c r="P1" s="26" t="s">
        <v>31</v>
      </c>
      <c r="Q1" s="26" t="s">
        <v>20</v>
      </c>
      <c r="R1" s="26" t="s">
        <v>21</v>
      </c>
      <c r="S1" s="26" t="s">
        <v>22</v>
      </c>
      <c r="T1" s="42" t="s">
        <v>48</v>
      </c>
    </row>
    <row r="2" spans="1:20" x14ac:dyDescent="0.2">
      <c r="A2" t="s">
        <v>5</v>
      </c>
      <c r="B2" s="2">
        <v>1</v>
      </c>
      <c r="C2" s="1">
        <v>43434</v>
      </c>
      <c r="D2" s="4">
        <v>2616170</v>
      </c>
      <c r="E2" s="46">
        <v>1803766</v>
      </c>
      <c r="F2" s="8">
        <v>511305</v>
      </c>
      <c r="G2" s="29">
        <f>D2-E2-F2</f>
        <v>301099</v>
      </c>
      <c r="H2" s="4">
        <v>1912244</v>
      </c>
      <c r="I2" s="4">
        <v>382098</v>
      </c>
      <c r="J2" s="4">
        <f>D2-H2-I2</f>
        <v>321828</v>
      </c>
      <c r="K2" s="46">
        <v>1634313</v>
      </c>
      <c r="L2" s="8">
        <v>517307</v>
      </c>
      <c r="M2" s="29">
        <f>D2-K2-L2</f>
        <v>464550</v>
      </c>
      <c r="N2" s="4">
        <v>919244</v>
      </c>
      <c r="O2" s="4">
        <v>865208</v>
      </c>
      <c r="P2" s="4">
        <v>226635</v>
      </c>
      <c r="Q2" s="3">
        <f>N2/(N2+O2+P2)</f>
        <v>0.45708813194058734</v>
      </c>
      <c r="R2" s="3">
        <f>O2/(N2+O2+P2)</f>
        <v>0.43021908052709801</v>
      </c>
      <c r="S2" s="3">
        <f>P2/(N2+O2+P2)</f>
        <v>0.11269278753231461</v>
      </c>
      <c r="T2" s="3">
        <f>(N2+O2+P2)/D2</f>
        <v>0.76871418906263733</v>
      </c>
    </row>
    <row r="3" spans="1:20" x14ac:dyDescent="0.2">
      <c r="A3" t="s">
        <v>6</v>
      </c>
      <c r="B3" s="2">
        <v>2</v>
      </c>
      <c r="C3" s="1">
        <v>43434</v>
      </c>
      <c r="D3" s="4">
        <v>2116056</v>
      </c>
      <c r="E3" s="28">
        <v>1494715</v>
      </c>
      <c r="F3" s="8">
        <v>324255</v>
      </c>
      <c r="G3" s="29">
        <f>D3-E3-F3</f>
        <v>297086</v>
      </c>
      <c r="H3" s="4">
        <v>1509260</v>
      </c>
      <c r="I3" s="4">
        <v>297343</v>
      </c>
      <c r="J3" s="4">
        <f t="shared" ref="J3:J7" si="0">D3-H3-I3</f>
        <v>309453</v>
      </c>
      <c r="K3" s="28">
        <v>1287229</v>
      </c>
      <c r="L3" s="8">
        <v>382481</v>
      </c>
      <c r="M3" s="29">
        <f t="shared" ref="M3:M7" si="1">D3-K3-L3</f>
        <v>446346</v>
      </c>
      <c r="N3" s="4">
        <v>750772</v>
      </c>
      <c r="O3" s="4">
        <v>736907</v>
      </c>
      <c r="P3" s="4">
        <v>186359</v>
      </c>
      <c r="Q3" s="3">
        <f t="shared" ref="Q3:Q7" si="2">N3/(N3+O3+P3)</f>
        <v>0.44847966414143525</v>
      </c>
      <c r="R3" s="3">
        <f t="shared" ref="R3:R7" si="3">O3/(N3+O3+P3)</f>
        <v>0.4401972954018965</v>
      </c>
      <c r="S3" s="3">
        <f t="shared" ref="S3:S7" si="4">P3/(N3+O3+P3)</f>
        <v>0.11132304045666824</v>
      </c>
      <c r="T3" s="3">
        <f>(N3+O3+P3)/D3</f>
        <v>0.79111233351102239</v>
      </c>
    </row>
    <row r="4" spans="1:20" x14ac:dyDescent="0.2">
      <c r="A4" t="s">
        <v>7</v>
      </c>
      <c r="B4" s="2">
        <v>3</v>
      </c>
      <c r="C4" s="1">
        <v>43434</v>
      </c>
      <c r="D4" s="4">
        <v>2448737</v>
      </c>
      <c r="E4" s="28">
        <v>1702856</v>
      </c>
      <c r="F4" s="8">
        <v>419983</v>
      </c>
      <c r="G4" s="29">
        <f t="shared" ref="G4:G7" si="5">D4-E4-F4</f>
        <v>325898</v>
      </c>
      <c r="H4" s="4">
        <v>1764631</v>
      </c>
      <c r="I4" s="4">
        <v>343031</v>
      </c>
      <c r="J4" s="4">
        <f t="shared" si="0"/>
        <v>341075</v>
      </c>
      <c r="K4" s="28">
        <v>1507651</v>
      </c>
      <c r="L4" s="8">
        <v>449492</v>
      </c>
      <c r="M4" s="29">
        <f t="shared" si="1"/>
        <v>491594</v>
      </c>
      <c r="N4" s="4">
        <v>861104</v>
      </c>
      <c r="O4" s="4">
        <v>828310</v>
      </c>
      <c r="P4" s="4">
        <v>207739</v>
      </c>
      <c r="Q4" s="3">
        <f t="shared" si="2"/>
        <v>0.45389275403723367</v>
      </c>
      <c r="R4" s="3">
        <f t="shared" si="3"/>
        <v>0.43660685247842423</v>
      </c>
      <c r="S4" s="3">
        <f t="shared" si="4"/>
        <v>0.10950039348434207</v>
      </c>
      <c r="T4" s="3">
        <f t="shared" ref="T4:T7" si="6">(N4+O4+P4)/D4</f>
        <v>0.77474755353474056</v>
      </c>
    </row>
    <row r="5" spans="1:20" x14ac:dyDescent="0.2">
      <c r="A5" t="s">
        <v>8</v>
      </c>
      <c r="B5" s="2">
        <v>1</v>
      </c>
      <c r="C5" s="1">
        <v>43581</v>
      </c>
      <c r="D5" s="4">
        <v>1388788</v>
      </c>
      <c r="E5" s="28">
        <v>948977</v>
      </c>
      <c r="F5" s="8">
        <v>249104</v>
      </c>
      <c r="G5" s="29">
        <f t="shared" si="5"/>
        <v>190707</v>
      </c>
      <c r="H5" s="4">
        <v>986774</v>
      </c>
      <c r="I5" s="4">
        <v>201038</v>
      </c>
      <c r="J5" s="4">
        <f t="shared" si="0"/>
        <v>200976</v>
      </c>
      <c r="K5" s="28">
        <v>834414</v>
      </c>
      <c r="L5" s="8">
        <v>266179</v>
      </c>
      <c r="M5" s="29">
        <f t="shared" si="1"/>
        <v>288195</v>
      </c>
      <c r="N5" s="4">
        <v>493790</v>
      </c>
      <c r="O5" s="4">
        <v>467587</v>
      </c>
      <c r="P5" s="4">
        <v>131420</v>
      </c>
      <c r="Q5" s="3">
        <f t="shared" si="2"/>
        <v>0.45185885393170006</v>
      </c>
      <c r="R5" s="3">
        <f t="shared" si="3"/>
        <v>0.42788093305527009</v>
      </c>
      <c r="S5" s="3">
        <f t="shared" si="4"/>
        <v>0.12026021301302987</v>
      </c>
      <c r="T5" s="3">
        <f t="shared" si="6"/>
        <v>0.78687099830931717</v>
      </c>
    </row>
    <row r="6" spans="1:20" x14ac:dyDescent="0.2">
      <c r="A6" t="s">
        <v>9</v>
      </c>
      <c r="B6" s="2">
        <v>2</v>
      </c>
      <c r="C6" s="1">
        <v>43581</v>
      </c>
      <c r="D6" s="4">
        <v>1557764</v>
      </c>
      <c r="E6" s="28">
        <v>1051768</v>
      </c>
      <c r="F6" s="8">
        <v>284896</v>
      </c>
      <c r="G6" s="29">
        <f t="shared" si="5"/>
        <v>221100</v>
      </c>
      <c r="H6" s="4">
        <v>1063606</v>
      </c>
      <c r="I6" s="4">
        <v>262566</v>
      </c>
      <c r="J6" s="4">
        <f t="shared" si="0"/>
        <v>231592</v>
      </c>
      <c r="K6" s="28">
        <v>887194</v>
      </c>
      <c r="L6" s="8">
        <v>343033</v>
      </c>
      <c r="M6" s="29">
        <f t="shared" si="1"/>
        <v>327537</v>
      </c>
      <c r="N6" s="4">
        <v>537549</v>
      </c>
      <c r="O6" s="4">
        <v>523676</v>
      </c>
      <c r="P6" s="4">
        <v>172213</v>
      </c>
      <c r="Q6" s="3">
        <f t="shared" si="2"/>
        <v>0.43581355528206528</v>
      </c>
      <c r="R6" s="3">
        <f t="shared" si="3"/>
        <v>0.42456613141479344</v>
      </c>
      <c r="S6" s="3">
        <f t="shared" si="4"/>
        <v>0.13962031330314131</v>
      </c>
      <c r="T6" s="3">
        <f t="shared" si="6"/>
        <v>0.79180029837639077</v>
      </c>
    </row>
    <row r="7" spans="1:20" x14ac:dyDescent="0.2">
      <c r="A7" s="10" t="s">
        <v>10</v>
      </c>
      <c r="B7" s="11">
        <v>3</v>
      </c>
      <c r="C7" s="12">
        <v>43581</v>
      </c>
      <c r="D7" s="13">
        <v>2763351</v>
      </c>
      <c r="E7" s="30">
        <v>1823041</v>
      </c>
      <c r="F7" s="13">
        <v>568665</v>
      </c>
      <c r="G7" s="31">
        <f t="shared" si="5"/>
        <v>371645</v>
      </c>
      <c r="H7" s="13">
        <v>1876405</v>
      </c>
      <c r="I7" s="13">
        <v>497799</v>
      </c>
      <c r="J7" s="13">
        <f t="shared" si="0"/>
        <v>389147</v>
      </c>
      <c r="K7" s="30">
        <v>1555040</v>
      </c>
      <c r="L7" s="13">
        <v>659616</v>
      </c>
      <c r="M7" s="31">
        <f t="shared" si="1"/>
        <v>548695</v>
      </c>
      <c r="N7" s="4">
        <v>926500</v>
      </c>
      <c r="O7" s="4">
        <v>899985</v>
      </c>
      <c r="P7" s="4">
        <v>318682</v>
      </c>
      <c r="Q7" s="3">
        <f t="shared" si="2"/>
        <v>0.43190110606773274</v>
      </c>
      <c r="R7" s="3">
        <f t="shared" si="3"/>
        <v>0.41954076302684129</v>
      </c>
      <c r="S7" s="3">
        <f t="shared" si="4"/>
        <v>0.14855813090542602</v>
      </c>
      <c r="T7" s="3">
        <f t="shared" si="6"/>
        <v>0.77629190066698006</v>
      </c>
    </row>
    <row r="8" spans="1:20" x14ac:dyDescent="0.2">
      <c r="A8" s="15"/>
      <c r="B8" s="15"/>
      <c r="C8" s="15" t="s">
        <v>17</v>
      </c>
      <c r="D8" s="20"/>
      <c r="E8" s="32"/>
      <c r="G8" s="33"/>
      <c r="K8" s="32"/>
      <c r="M8" s="33"/>
      <c r="N8" s="15"/>
      <c r="O8" s="15"/>
      <c r="P8" s="15"/>
      <c r="Q8" s="34">
        <f>AVERAGE(Q2:Q7)</f>
        <v>0.44650567756679238</v>
      </c>
      <c r="R8" s="34">
        <f t="shared" ref="R8:T8" si="7">AVERAGE(R2:R7)</f>
        <v>0.42983517598405391</v>
      </c>
      <c r="S8" s="34">
        <f t="shared" si="7"/>
        <v>0.1236591464491537</v>
      </c>
      <c r="T8" s="19">
        <f t="shared" si="7"/>
        <v>0.78158954557684801</v>
      </c>
    </row>
    <row r="9" spans="1:20" x14ac:dyDescent="0.2">
      <c r="A9" s="10"/>
      <c r="B9" s="10"/>
      <c r="C9" s="10" t="s">
        <v>18</v>
      </c>
      <c r="D9" s="21"/>
      <c r="E9" s="35"/>
      <c r="F9" s="10"/>
      <c r="G9" s="36"/>
      <c r="H9" s="10"/>
      <c r="I9" s="10"/>
      <c r="J9" s="10"/>
      <c r="K9" s="35"/>
      <c r="L9" s="10"/>
      <c r="M9" s="36"/>
      <c r="N9" s="10"/>
      <c r="O9" s="10"/>
      <c r="P9" s="10"/>
      <c r="Q9" s="14">
        <f>STDEV(Q2:Q7)</f>
        <v>1.0263774619183517E-2</v>
      </c>
      <c r="R9" s="14">
        <f t="shared" ref="R9:T9" si="8">STDEV(R2:R7)</f>
        <v>7.6280185933621063E-3</v>
      </c>
      <c r="S9" s="14">
        <f t="shared" si="8"/>
        <v>1.6487460976554572E-2</v>
      </c>
      <c r="T9" s="14">
        <f t="shared" si="8"/>
        <v>9.6279739073314077E-3</v>
      </c>
    </row>
    <row r="10" spans="1:20" x14ac:dyDescent="0.2">
      <c r="T10" t="s">
        <v>43</v>
      </c>
    </row>
    <row r="12" spans="1:20" x14ac:dyDescent="0.2">
      <c r="A12" s="37" t="s">
        <v>32</v>
      </c>
    </row>
    <row r="13" spans="1:20" x14ac:dyDescent="0.2">
      <c r="A13" s="10" t="s">
        <v>0</v>
      </c>
      <c r="B13" s="10" t="s">
        <v>1</v>
      </c>
      <c r="C13" s="10" t="s">
        <v>2</v>
      </c>
      <c r="D13" s="10" t="s">
        <v>11</v>
      </c>
      <c r="E13" s="25" t="s">
        <v>45</v>
      </c>
      <c r="F13" s="26" t="s">
        <v>46</v>
      </c>
      <c r="G13" s="26" t="s">
        <v>47</v>
      </c>
      <c r="H13" s="25" t="s">
        <v>33</v>
      </c>
      <c r="I13" s="26" t="s">
        <v>34</v>
      </c>
      <c r="J13" s="38"/>
      <c r="K13" s="45"/>
      <c r="M13" s="38"/>
      <c r="N13" s="45"/>
    </row>
    <row r="14" spans="1:20" x14ac:dyDescent="0.2">
      <c r="A14" t="s">
        <v>5</v>
      </c>
      <c r="B14" s="2">
        <v>1</v>
      </c>
      <c r="C14" s="1">
        <v>43434</v>
      </c>
      <c r="D14" s="4">
        <v>2616170</v>
      </c>
      <c r="E14" s="58">
        <v>137.916</v>
      </c>
      <c r="F14" s="50">
        <v>0</v>
      </c>
      <c r="G14" s="50">
        <v>1244.1380000000001</v>
      </c>
      <c r="H14" s="47">
        <f>E14+F14+G14</f>
        <v>1382.0540000000001</v>
      </c>
      <c r="I14" s="24">
        <f>(H14/60)/D14*1000000</f>
        <v>8.8045629042964855</v>
      </c>
      <c r="J14" s="24"/>
      <c r="Q14" s="3"/>
      <c r="R14" s="3"/>
      <c r="S14" s="3"/>
      <c r="T14" s="3"/>
    </row>
    <row r="15" spans="1:20" x14ac:dyDescent="0.2">
      <c r="A15" t="s">
        <v>6</v>
      </c>
      <c r="B15" s="2">
        <v>2</v>
      </c>
      <c r="C15" s="1">
        <v>43434</v>
      </c>
      <c r="D15" s="4">
        <v>2116056</v>
      </c>
      <c r="E15" s="58">
        <v>135.49299999999999</v>
      </c>
      <c r="F15" s="50">
        <v>0</v>
      </c>
      <c r="G15" s="50">
        <v>933.71299999999997</v>
      </c>
      <c r="H15" s="47">
        <f t="shared" ref="H15:H19" si="9">E15+F15+G15</f>
        <v>1069.2059999999999</v>
      </c>
      <c r="I15" s="24">
        <f t="shared" ref="I15:I19" si="10">(H15/60)/D15*1000000</f>
        <v>8.421374481582717</v>
      </c>
      <c r="J15" s="24"/>
    </row>
    <row r="16" spans="1:20" x14ac:dyDescent="0.2">
      <c r="A16" t="s">
        <v>7</v>
      </c>
      <c r="B16" s="2">
        <v>3</v>
      </c>
      <c r="C16" s="1">
        <v>43434</v>
      </c>
      <c r="D16" s="4">
        <v>2448737</v>
      </c>
      <c r="E16" s="58">
        <v>135.13999999999999</v>
      </c>
      <c r="F16" s="50">
        <v>0</v>
      </c>
      <c r="G16" s="50">
        <v>1085.193</v>
      </c>
      <c r="H16" s="47">
        <f t="shared" si="9"/>
        <v>1220.3330000000001</v>
      </c>
      <c r="I16" s="24">
        <f t="shared" si="10"/>
        <v>8.3058667930991916</v>
      </c>
      <c r="J16" s="24"/>
    </row>
    <row r="17" spans="1:13" x14ac:dyDescent="0.2">
      <c r="A17" t="s">
        <v>8</v>
      </c>
      <c r="B17" s="2">
        <v>1</v>
      </c>
      <c r="C17" s="1">
        <v>43581</v>
      </c>
      <c r="D17" s="4">
        <v>1388788</v>
      </c>
      <c r="E17" s="58">
        <v>147.203</v>
      </c>
      <c r="F17" s="50">
        <v>0</v>
      </c>
      <c r="G17" s="50">
        <v>737.12199999999996</v>
      </c>
      <c r="H17" s="47">
        <f t="shared" si="9"/>
        <v>884.32499999999993</v>
      </c>
      <c r="I17" s="24">
        <f t="shared" si="10"/>
        <v>10.612670904414497</v>
      </c>
      <c r="J17" s="24"/>
    </row>
    <row r="18" spans="1:13" x14ac:dyDescent="0.2">
      <c r="A18" t="s">
        <v>9</v>
      </c>
      <c r="B18" s="2">
        <v>2</v>
      </c>
      <c r="C18" s="1">
        <v>43581</v>
      </c>
      <c r="D18" s="4">
        <v>1557764</v>
      </c>
      <c r="E18" s="58">
        <v>119.923</v>
      </c>
      <c r="F18" s="50">
        <v>0</v>
      </c>
      <c r="G18" s="50">
        <v>783.39700000000005</v>
      </c>
      <c r="H18" s="47">
        <f t="shared" si="9"/>
        <v>903.32</v>
      </c>
      <c r="I18" s="24">
        <f t="shared" si="10"/>
        <v>9.6647074481971167</v>
      </c>
      <c r="J18" s="24"/>
    </row>
    <row r="19" spans="1:13" x14ac:dyDescent="0.2">
      <c r="A19" s="10" t="s">
        <v>10</v>
      </c>
      <c r="B19" s="11">
        <v>3</v>
      </c>
      <c r="C19" s="12">
        <v>43581</v>
      </c>
      <c r="D19" s="13">
        <v>2763351</v>
      </c>
      <c r="E19" s="59">
        <v>143.86099999999999</v>
      </c>
      <c r="F19" s="52">
        <v>0</v>
      </c>
      <c r="G19" s="52">
        <v>1408.6849999999999</v>
      </c>
      <c r="H19" s="48">
        <f t="shared" si="9"/>
        <v>1552.5459999999998</v>
      </c>
      <c r="I19" s="39">
        <f t="shared" si="10"/>
        <v>9.3639087711501947</v>
      </c>
      <c r="J19" s="24"/>
      <c r="M19" s="5"/>
    </row>
    <row r="20" spans="1:13" x14ac:dyDescent="0.2">
      <c r="A20" s="15"/>
      <c r="B20" s="15"/>
      <c r="C20" s="15" t="s">
        <v>17</v>
      </c>
      <c r="D20" s="20"/>
      <c r="E20" s="32"/>
      <c r="H20" s="32"/>
      <c r="I20" s="24">
        <f>AVERAGE(I14:I19)</f>
        <v>9.1955152171233667</v>
      </c>
      <c r="J20" s="24"/>
      <c r="M20" s="5"/>
    </row>
    <row r="21" spans="1:13" x14ac:dyDescent="0.2">
      <c r="A21" s="10"/>
      <c r="B21" s="10"/>
      <c r="C21" s="10" t="s">
        <v>18</v>
      </c>
      <c r="D21" s="21"/>
      <c r="E21" s="35"/>
      <c r="F21" s="10"/>
      <c r="G21" s="10"/>
      <c r="H21" s="35"/>
      <c r="I21" s="39">
        <f>STDEV(I14:I19)</f>
        <v>0.87183024591443814</v>
      </c>
      <c r="J21" s="24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CA8CE-4008-3049-9A11-80DB4D2EB95D}">
  <dimension ref="A1:M12"/>
  <sheetViews>
    <sheetView workbookViewId="0">
      <selection activeCell="M12" sqref="M7:M12"/>
    </sheetView>
  </sheetViews>
  <sheetFormatPr baseColWidth="10" defaultRowHeight="16" x14ac:dyDescent="0.2"/>
  <sheetData>
    <row r="1" spans="1:13" x14ac:dyDescent="0.2">
      <c r="A1" t="s">
        <v>57</v>
      </c>
    </row>
    <row r="2" spans="1:13" x14ac:dyDescent="0.2">
      <c r="A2" t="s">
        <v>58</v>
      </c>
    </row>
    <row r="3" spans="1:13" x14ac:dyDescent="0.2">
      <c r="A3" t="s">
        <v>59</v>
      </c>
    </row>
    <row r="4" spans="1:13" x14ac:dyDescent="0.2">
      <c r="A4" t="s">
        <v>60</v>
      </c>
    </row>
    <row r="5" spans="1:13" x14ac:dyDescent="0.2">
      <c r="A5" t="s">
        <v>61</v>
      </c>
    </row>
    <row r="6" spans="1:13" x14ac:dyDescent="0.2">
      <c r="A6" t="s">
        <v>62</v>
      </c>
    </row>
    <row r="7" spans="1:13" x14ac:dyDescent="0.2">
      <c r="A7" t="s">
        <v>63</v>
      </c>
      <c r="M7">
        <v>218.63</v>
      </c>
    </row>
    <row r="8" spans="1:13" x14ac:dyDescent="0.2">
      <c r="A8" t="s">
        <v>64</v>
      </c>
      <c r="M8">
        <v>220.864</v>
      </c>
    </row>
    <row r="9" spans="1:13" x14ac:dyDescent="0.2">
      <c r="A9" t="s">
        <v>65</v>
      </c>
      <c r="M9">
        <v>217.822</v>
      </c>
    </row>
    <row r="10" spans="1:13" x14ac:dyDescent="0.2">
      <c r="A10" t="s">
        <v>66</v>
      </c>
      <c r="M10">
        <v>204.60400000000001</v>
      </c>
    </row>
    <row r="11" spans="1:13" x14ac:dyDescent="0.2">
      <c r="A11" t="s">
        <v>67</v>
      </c>
      <c r="M11">
        <v>214.79599999999999</v>
      </c>
    </row>
    <row r="12" spans="1:13" x14ac:dyDescent="0.2">
      <c r="A12" t="s">
        <v>68</v>
      </c>
      <c r="M12">
        <v>209.374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28444-C349-BA46-B8D9-392EDE9D2930}">
  <dimension ref="A1:J31"/>
  <sheetViews>
    <sheetView topLeftCell="B1" workbookViewId="0">
      <selection activeCell="A32" sqref="A32"/>
    </sheetView>
  </sheetViews>
  <sheetFormatPr baseColWidth="10" defaultRowHeight="16" x14ac:dyDescent="0.2"/>
  <cols>
    <col min="1" max="1" width="31.33203125" customWidth="1"/>
    <col min="2" max="2" width="16.6640625" customWidth="1"/>
    <col min="3" max="3" width="19.6640625" customWidth="1"/>
    <col min="4" max="5" width="16.6640625" customWidth="1"/>
    <col min="6" max="6" width="19.6640625" customWidth="1"/>
    <col min="7" max="8" width="16.6640625" customWidth="1"/>
    <col min="9" max="9" width="19.6640625" customWidth="1"/>
    <col min="10" max="10" width="16.6640625" customWidth="1"/>
  </cols>
  <sheetData>
    <row r="1" spans="1:10" s="54" customFormat="1" x14ac:dyDescent="0.2">
      <c r="B1" s="60" t="s">
        <v>49</v>
      </c>
      <c r="C1" s="60"/>
      <c r="D1" s="60"/>
      <c r="E1" s="60" t="s">
        <v>50</v>
      </c>
      <c r="F1" s="60"/>
      <c r="G1" s="60"/>
      <c r="H1" s="60" t="s">
        <v>51</v>
      </c>
      <c r="I1" s="60"/>
      <c r="J1" s="60"/>
    </row>
    <row r="2" spans="1:10" s="54" customFormat="1" x14ac:dyDescent="0.2">
      <c r="A2" s="55" t="s">
        <v>0</v>
      </c>
      <c r="B2" s="55" t="s">
        <v>52</v>
      </c>
      <c r="C2" s="55" t="s">
        <v>53</v>
      </c>
      <c r="D2" s="55" t="s">
        <v>54</v>
      </c>
      <c r="E2" s="55" t="s">
        <v>52</v>
      </c>
      <c r="F2" s="55" t="s">
        <v>53</v>
      </c>
      <c r="G2" s="55" t="s">
        <v>54</v>
      </c>
      <c r="H2" s="55" t="s">
        <v>52</v>
      </c>
      <c r="I2" s="55" t="s">
        <v>53</v>
      </c>
      <c r="J2" s="55" t="s">
        <v>54</v>
      </c>
    </row>
    <row r="3" spans="1:10" x14ac:dyDescent="0.2">
      <c r="A3" t="s">
        <v>5</v>
      </c>
      <c r="B3" s="4">
        <v>579423</v>
      </c>
      <c r="C3" s="4">
        <v>211530</v>
      </c>
      <c r="D3" s="4">
        <v>36620</v>
      </c>
      <c r="E3" s="4">
        <v>538459</v>
      </c>
      <c r="F3" s="4">
        <v>213443</v>
      </c>
      <c r="G3" s="4">
        <v>45769</v>
      </c>
      <c r="H3" s="4">
        <v>36888</v>
      </c>
      <c r="I3" s="4">
        <v>7417</v>
      </c>
      <c r="J3" s="4">
        <v>2664</v>
      </c>
    </row>
    <row r="4" spans="1:10" x14ac:dyDescent="0.2">
      <c r="A4" t="s">
        <v>6</v>
      </c>
      <c r="B4" s="4">
        <v>493931</v>
      </c>
      <c r="C4" s="4">
        <v>167738</v>
      </c>
      <c r="D4" s="4">
        <v>28055</v>
      </c>
      <c r="E4" s="4">
        <v>457445</v>
      </c>
      <c r="F4" s="4">
        <v>164981</v>
      </c>
      <c r="G4" s="4">
        <v>28008</v>
      </c>
      <c r="H4" s="4">
        <v>33110</v>
      </c>
      <c r="I4" s="4">
        <v>5583</v>
      </c>
      <c r="J4" s="4">
        <v>1910</v>
      </c>
    </row>
    <row r="5" spans="1:10" x14ac:dyDescent="0.2">
      <c r="A5" t="s">
        <v>7</v>
      </c>
      <c r="B5" s="4">
        <v>557769</v>
      </c>
      <c r="C5" s="4">
        <v>192422</v>
      </c>
      <c r="D5" s="4">
        <v>32922</v>
      </c>
      <c r="E5" s="4">
        <v>519483</v>
      </c>
      <c r="F5" s="4">
        <v>190167</v>
      </c>
      <c r="G5" s="4">
        <v>34700</v>
      </c>
      <c r="H5" s="4">
        <v>38219</v>
      </c>
      <c r="I5" s="4">
        <v>6645</v>
      </c>
      <c r="J5" s="4">
        <v>2256</v>
      </c>
    </row>
    <row r="6" spans="1:10" x14ac:dyDescent="0.2">
      <c r="A6" t="s">
        <v>8</v>
      </c>
      <c r="B6" s="4">
        <v>322969</v>
      </c>
      <c r="C6" s="4">
        <v>100934</v>
      </c>
      <c r="D6" s="4">
        <v>16671</v>
      </c>
      <c r="E6" s="4">
        <v>296032</v>
      </c>
      <c r="F6" s="4">
        <v>103859</v>
      </c>
      <c r="G6" s="4">
        <v>20737</v>
      </c>
      <c r="H6" s="4">
        <v>23344</v>
      </c>
      <c r="I6" s="4">
        <v>5095</v>
      </c>
      <c r="J6" s="4">
        <v>1596</v>
      </c>
    </row>
    <row r="7" spans="1:10" x14ac:dyDescent="0.2">
      <c r="A7" t="s">
        <v>9</v>
      </c>
      <c r="B7" s="4">
        <v>353808</v>
      </c>
      <c r="C7" s="4">
        <v>107714</v>
      </c>
      <c r="D7" s="4">
        <v>17845</v>
      </c>
      <c r="E7" s="4">
        <v>321821</v>
      </c>
      <c r="F7" s="4">
        <v>109136</v>
      </c>
      <c r="G7" s="4">
        <v>18832</v>
      </c>
      <c r="H7" s="4">
        <v>28038</v>
      </c>
      <c r="I7" s="4">
        <v>4587</v>
      </c>
      <c r="J7" s="4">
        <v>1462</v>
      </c>
    </row>
    <row r="8" spans="1:10" x14ac:dyDescent="0.2">
      <c r="A8" s="10" t="s">
        <v>10</v>
      </c>
      <c r="B8" s="4">
        <v>602927</v>
      </c>
      <c r="C8" s="4">
        <v>186373</v>
      </c>
      <c r="D8" s="4">
        <v>30559</v>
      </c>
      <c r="E8" s="4">
        <v>549427</v>
      </c>
      <c r="F8" s="4">
        <v>187606</v>
      </c>
      <c r="G8" s="4">
        <v>34753</v>
      </c>
      <c r="H8" s="4">
        <v>48130</v>
      </c>
      <c r="I8" s="4">
        <v>7590</v>
      </c>
      <c r="J8" s="4">
        <v>2586</v>
      </c>
    </row>
    <row r="9" spans="1:10" x14ac:dyDescent="0.2">
      <c r="A9" s="15"/>
      <c r="B9" s="15"/>
      <c r="C9" s="15"/>
      <c r="D9" s="15"/>
      <c r="E9" s="15"/>
      <c r="F9" s="15"/>
      <c r="G9" s="15"/>
      <c r="H9" s="15"/>
      <c r="I9" s="15"/>
      <c r="J9" s="15"/>
    </row>
    <row r="11" spans="1:10" x14ac:dyDescent="0.2">
      <c r="A11" t="s">
        <v>55</v>
      </c>
    </row>
    <row r="12" spans="1:10" x14ac:dyDescent="0.2">
      <c r="A12" s="55" t="s">
        <v>0</v>
      </c>
      <c r="B12" s="10" t="s">
        <v>49</v>
      </c>
      <c r="C12" s="10" t="s">
        <v>50</v>
      </c>
      <c r="D12" s="10" t="s">
        <v>51</v>
      </c>
    </row>
    <row r="13" spans="1:10" x14ac:dyDescent="0.2">
      <c r="A13" t="s">
        <v>5</v>
      </c>
      <c r="B13" s="56">
        <f>C3/(B3+C3+D3)</f>
        <v>0.25560282899514603</v>
      </c>
      <c r="C13" s="56">
        <f>F3/(E3+F3+G3)</f>
        <v>0.26758275028175776</v>
      </c>
      <c r="D13" s="56">
        <f>I3/(H3+I3+J3)</f>
        <v>0.15791266580084737</v>
      </c>
    </row>
    <row r="14" spans="1:10" x14ac:dyDescent="0.2">
      <c r="A14" t="s">
        <v>6</v>
      </c>
      <c r="B14" s="56">
        <f t="shared" ref="B14:B18" si="0">C4/(B4+C4+D4)</f>
        <v>0.24319582905626019</v>
      </c>
      <c r="C14" s="56">
        <f t="shared" ref="C14:C18" si="1">F4/(E4+F4+G4)</f>
        <v>0.25364756454920867</v>
      </c>
      <c r="D14" s="56">
        <f t="shared" ref="D14:D18" si="2">I4/(H4+I4+J4)</f>
        <v>0.13750215501317636</v>
      </c>
    </row>
    <row r="15" spans="1:10" x14ac:dyDescent="0.2">
      <c r="A15" t="s">
        <v>7</v>
      </c>
      <c r="B15" s="56">
        <f t="shared" si="0"/>
        <v>0.2457142200423183</v>
      </c>
      <c r="C15" s="56">
        <f t="shared" si="1"/>
        <v>0.25548062067575739</v>
      </c>
      <c r="D15" s="56">
        <f t="shared" si="2"/>
        <v>0.14102292020373514</v>
      </c>
    </row>
    <row r="16" spans="1:10" x14ac:dyDescent="0.2">
      <c r="A16" t="s">
        <v>8</v>
      </c>
      <c r="B16" s="56">
        <f t="shared" si="0"/>
        <v>0.22909658763340551</v>
      </c>
      <c r="C16" s="56">
        <f t="shared" si="1"/>
        <v>0.24691413790808031</v>
      </c>
      <c r="D16" s="56">
        <f t="shared" si="2"/>
        <v>0.16963542533710671</v>
      </c>
    </row>
    <row r="17" spans="1:4" x14ac:dyDescent="0.2">
      <c r="A17" t="s">
        <v>9</v>
      </c>
      <c r="B17" s="56">
        <f t="shared" si="0"/>
        <v>0.22470049043843235</v>
      </c>
      <c r="C17" s="56">
        <f t="shared" si="1"/>
        <v>0.24263821480738745</v>
      </c>
      <c r="D17" s="56">
        <f t="shared" si="2"/>
        <v>0.13456743039868571</v>
      </c>
    </row>
    <row r="18" spans="1:4" x14ac:dyDescent="0.2">
      <c r="A18" s="10" t="s">
        <v>10</v>
      </c>
      <c r="B18" s="57">
        <f t="shared" si="0"/>
        <v>0.22732323484891914</v>
      </c>
      <c r="C18" s="57">
        <f t="shared" si="1"/>
        <v>0.24308033574073643</v>
      </c>
      <c r="D18" s="57">
        <f t="shared" si="2"/>
        <v>0.13017528213219909</v>
      </c>
    </row>
    <row r="19" spans="1:4" x14ac:dyDescent="0.2">
      <c r="B19" s="56">
        <f>AVERAGE(B13:B18)</f>
        <v>0.23760553183574692</v>
      </c>
      <c r="C19" s="56">
        <f t="shared" ref="C19:D19" si="3">AVERAGE(C13:C18)</f>
        <v>0.25155727066048805</v>
      </c>
      <c r="D19" s="56">
        <f t="shared" si="3"/>
        <v>0.14513597981429172</v>
      </c>
    </row>
    <row r="20" spans="1:4" x14ac:dyDescent="0.2">
      <c r="A20" s="10"/>
      <c r="B20" s="57">
        <f>STDEV(B13:B18)</f>
        <v>1.2373946894334671E-2</v>
      </c>
      <c r="C20" s="57">
        <f t="shared" ref="C20:D20" si="4">STDEV(C13:C18)</f>
        <v>9.4820321205549771E-3</v>
      </c>
      <c r="D20" s="57">
        <f t="shared" si="4"/>
        <v>1.5324332207725206E-2</v>
      </c>
    </row>
    <row r="22" spans="1:4" x14ac:dyDescent="0.2">
      <c r="A22" t="s">
        <v>56</v>
      </c>
    </row>
    <row r="23" spans="1:4" x14ac:dyDescent="0.2">
      <c r="A23" s="55" t="s">
        <v>0</v>
      </c>
      <c r="B23" s="10" t="s">
        <v>49</v>
      </c>
      <c r="C23" s="10" t="s">
        <v>50</v>
      </c>
      <c r="D23" s="10" t="s">
        <v>51</v>
      </c>
    </row>
    <row r="24" spans="1:4" x14ac:dyDescent="0.2">
      <c r="A24" t="s">
        <v>5</v>
      </c>
      <c r="B24" s="56">
        <f>C3/(C3+D3)</f>
        <v>0.85242796695547052</v>
      </c>
      <c r="C24" s="56">
        <f>F3/(F3+G3)</f>
        <v>0.8234302424270481</v>
      </c>
      <c r="D24" s="56">
        <f>I3/(I3+J3)</f>
        <v>0.73574050193433194</v>
      </c>
    </row>
    <row r="25" spans="1:4" x14ac:dyDescent="0.2">
      <c r="A25" t="s">
        <v>6</v>
      </c>
      <c r="B25" s="56">
        <f t="shared" ref="B25:B29" si="5">C4/(C4+D4)</f>
        <v>0.85671091407762279</v>
      </c>
      <c r="C25" s="56">
        <f t="shared" ref="C25:C29" si="6">F4/(F4+G4)</f>
        <v>0.8548725575032774</v>
      </c>
      <c r="D25" s="56">
        <f t="shared" ref="D25:D29" si="7">I4/(I4+J4)</f>
        <v>0.74509542239423465</v>
      </c>
    </row>
    <row r="26" spans="1:4" x14ac:dyDescent="0.2">
      <c r="A26" t="s">
        <v>7</v>
      </c>
      <c r="B26" s="56">
        <f t="shared" si="5"/>
        <v>0.85390336552115875</v>
      </c>
      <c r="C26" s="56">
        <f t="shared" si="6"/>
        <v>0.84568656138962139</v>
      </c>
      <c r="D26" s="56">
        <f t="shared" si="7"/>
        <v>0.74654533198517026</v>
      </c>
    </row>
    <row r="27" spans="1:4" x14ac:dyDescent="0.2">
      <c r="A27" t="s">
        <v>8</v>
      </c>
      <c r="B27" s="56">
        <f t="shared" si="5"/>
        <v>0.85824582288168016</v>
      </c>
      <c r="C27" s="56">
        <f t="shared" si="6"/>
        <v>0.83356608558862244</v>
      </c>
      <c r="D27" s="56">
        <f t="shared" si="7"/>
        <v>0.76147063219249733</v>
      </c>
    </row>
    <row r="28" spans="1:4" x14ac:dyDescent="0.2">
      <c r="A28" t="s">
        <v>9</v>
      </c>
      <c r="B28" s="56">
        <f t="shared" si="5"/>
        <v>0.85787558040443135</v>
      </c>
      <c r="C28" s="56">
        <f t="shared" si="6"/>
        <v>0.85283820955238809</v>
      </c>
      <c r="D28" s="56">
        <f t="shared" si="7"/>
        <v>0.75830715820796823</v>
      </c>
    </row>
    <row r="29" spans="1:4" x14ac:dyDescent="0.2">
      <c r="A29" s="10" t="s">
        <v>10</v>
      </c>
      <c r="B29" s="57">
        <f t="shared" si="5"/>
        <v>0.85913097191746723</v>
      </c>
      <c r="C29" s="57">
        <f t="shared" si="6"/>
        <v>0.84370769791193523</v>
      </c>
      <c r="D29" s="57">
        <f t="shared" si="7"/>
        <v>0.745872641509434</v>
      </c>
    </row>
    <row r="30" spans="1:4" x14ac:dyDescent="0.2">
      <c r="B30" s="56">
        <f>AVERAGE(B24:B29)</f>
        <v>0.85638243695963834</v>
      </c>
      <c r="C30" s="56">
        <f t="shared" ref="C30:D30" si="8">AVERAGE(C24:C29)</f>
        <v>0.84235022572881546</v>
      </c>
      <c r="D30" s="56">
        <f t="shared" si="8"/>
        <v>0.74883861470393942</v>
      </c>
    </row>
    <row r="31" spans="1:4" x14ac:dyDescent="0.2">
      <c r="A31" s="10"/>
      <c r="B31" s="57">
        <f>STDEV(B24:B29)</f>
        <v>2.6513262448664122E-3</v>
      </c>
      <c r="C31" s="57">
        <f t="shared" ref="C31:D31" si="9">STDEV(C24:C29)</f>
        <v>1.1957485941989943E-2</v>
      </c>
      <c r="D31" s="57">
        <f t="shared" si="9"/>
        <v>9.4746965263319827E-3</v>
      </c>
    </row>
  </sheetData>
  <mergeCells count="3">
    <mergeCell ref="B1:D1"/>
    <mergeCell ref="E1:G1"/>
    <mergeCell ref="H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Trimmomatic</vt:lpstr>
      <vt:lpstr>HISAT2</vt:lpstr>
      <vt:lpstr>STAR</vt:lpstr>
      <vt:lpstr>EAGLE-RC</vt:lpstr>
      <vt:lpstr>EAGLE-RC(ngi)</vt:lpstr>
      <vt:lpstr>Sheet1</vt:lpstr>
      <vt:lpstr>Overlap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jsun</dc:creator>
  <cp:lastModifiedBy>Microsoft Office User</cp:lastModifiedBy>
  <dcterms:created xsi:type="dcterms:W3CDTF">2020-05-16T00:01:00Z</dcterms:created>
  <dcterms:modified xsi:type="dcterms:W3CDTF">2021-02-09T06:58:55Z</dcterms:modified>
</cp:coreProperties>
</file>