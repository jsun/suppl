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sun/Desktop/wheat_tagseq/files/"/>
    </mc:Choice>
  </mc:AlternateContent>
  <xr:revisionPtr revIDLastSave="0" documentId="13_ncr:1_{6C80B4A6-7187-2245-9907-2ABCE958E9B9}" xr6:coauthVersionLast="45" xr6:coauthVersionMax="45" xr10:uidLastSave="{00000000-0000-0000-0000-000000000000}"/>
  <bookViews>
    <workbookView xWindow="1240" yWindow="580" windowWidth="23200" windowHeight="15640" xr2:uid="{0A1B866E-BAB2-5B48-9BA1-056163FF4A88}"/>
  </bookViews>
  <sheets>
    <sheet name="Sheet1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06" i="5" l="1"/>
  <c r="K105" i="5"/>
  <c r="K94" i="5"/>
  <c r="K93" i="5"/>
  <c r="K82" i="5"/>
  <c r="K81" i="5"/>
  <c r="K70" i="5"/>
  <c r="K69" i="5"/>
  <c r="K58" i="5"/>
  <c r="K57" i="5"/>
  <c r="K46" i="5"/>
  <c r="K45" i="5"/>
  <c r="K34" i="5"/>
  <c r="K33" i="5"/>
  <c r="K22" i="5"/>
  <c r="K21" i="5"/>
  <c r="K10" i="5"/>
  <c r="K9" i="5"/>
  <c r="H41" i="5"/>
  <c r="G106" i="5"/>
  <c r="F106" i="5"/>
  <c r="E106" i="5"/>
  <c r="D106" i="5"/>
  <c r="G105" i="5"/>
  <c r="F105" i="5"/>
  <c r="E105" i="5"/>
  <c r="D105" i="5"/>
  <c r="J104" i="5"/>
  <c r="I104" i="5"/>
  <c r="H104" i="5"/>
  <c r="J103" i="5"/>
  <c r="I103" i="5"/>
  <c r="H103" i="5"/>
  <c r="J102" i="5"/>
  <c r="I102" i="5"/>
  <c r="H102" i="5"/>
  <c r="J101" i="5"/>
  <c r="I101" i="5"/>
  <c r="H101" i="5"/>
  <c r="J100" i="5"/>
  <c r="I100" i="5"/>
  <c r="H100" i="5"/>
  <c r="J99" i="5"/>
  <c r="I99" i="5"/>
  <c r="H99" i="5"/>
  <c r="G94" i="5"/>
  <c r="F94" i="5"/>
  <c r="E94" i="5"/>
  <c r="D94" i="5"/>
  <c r="G93" i="5"/>
  <c r="F93" i="5"/>
  <c r="E93" i="5"/>
  <c r="D93" i="5"/>
  <c r="J92" i="5"/>
  <c r="I92" i="5"/>
  <c r="H92" i="5"/>
  <c r="J91" i="5"/>
  <c r="I91" i="5"/>
  <c r="H91" i="5"/>
  <c r="J90" i="5"/>
  <c r="I90" i="5"/>
  <c r="H90" i="5"/>
  <c r="J89" i="5"/>
  <c r="I89" i="5"/>
  <c r="H89" i="5"/>
  <c r="J88" i="5"/>
  <c r="I88" i="5"/>
  <c r="H88" i="5"/>
  <c r="J87" i="5"/>
  <c r="I87" i="5"/>
  <c r="H87" i="5"/>
  <c r="G82" i="5"/>
  <c r="F82" i="5"/>
  <c r="E82" i="5"/>
  <c r="D82" i="5"/>
  <c r="G81" i="5"/>
  <c r="F81" i="5"/>
  <c r="E81" i="5"/>
  <c r="D81" i="5"/>
  <c r="J80" i="5"/>
  <c r="I80" i="5"/>
  <c r="H80" i="5"/>
  <c r="J79" i="5"/>
  <c r="I79" i="5"/>
  <c r="H79" i="5"/>
  <c r="J78" i="5"/>
  <c r="I78" i="5"/>
  <c r="H78" i="5"/>
  <c r="J77" i="5"/>
  <c r="I77" i="5"/>
  <c r="H77" i="5"/>
  <c r="J76" i="5"/>
  <c r="I76" i="5"/>
  <c r="H76" i="5"/>
  <c r="J75" i="5"/>
  <c r="I75" i="5"/>
  <c r="H75" i="5"/>
  <c r="G70" i="5"/>
  <c r="F70" i="5"/>
  <c r="E70" i="5"/>
  <c r="D70" i="5"/>
  <c r="G69" i="5"/>
  <c r="F69" i="5"/>
  <c r="E69" i="5"/>
  <c r="D69" i="5"/>
  <c r="J68" i="5"/>
  <c r="I68" i="5"/>
  <c r="H68" i="5"/>
  <c r="J67" i="5"/>
  <c r="I67" i="5"/>
  <c r="H67" i="5"/>
  <c r="J66" i="5"/>
  <c r="I66" i="5"/>
  <c r="H66" i="5"/>
  <c r="J65" i="5"/>
  <c r="I65" i="5"/>
  <c r="H65" i="5"/>
  <c r="J64" i="5"/>
  <c r="I64" i="5"/>
  <c r="H64" i="5"/>
  <c r="J63" i="5"/>
  <c r="I63" i="5"/>
  <c r="H63" i="5"/>
  <c r="G58" i="5"/>
  <c r="F58" i="5"/>
  <c r="E58" i="5"/>
  <c r="D58" i="5"/>
  <c r="G57" i="5"/>
  <c r="F57" i="5"/>
  <c r="E57" i="5"/>
  <c r="D57" i="5"/>
  <c r="J56" i="5"/>
  <c r="I56" i="5"/>
  <c r="H56" i="5"/>
  <c r="J55" i="5"/>
  <c r="I55" i="5"/>
  <c r="H55" i="5"/>
  <c r="J54" i="5"/>
  <c r="I54" i="5"/>
  <c r="H54" i="5"/>
  <c r="J53" i="5"/>
  <c r="I53" i="5"/>
  <c r="H53" i="5"/>
  <c r="J52" i="5"/>
  <c r="I52" i="5"/>
  <c r="H52" i="5"/>
  <c r="J51" i="5"/>
  <c r="I51" i="5"/>
  <c r="H51" i="5"/>
  <c r="G46" i="5"/>
  <c r="F46" i="5"/>
  <c r="E46" i="5"/>
  <c r="D46" i="5"/>
  <c r="G45" i="5"/>
  <c r="F45" i="5"/>
  <c r="E45" i="5"/>
  <c r="D45" i="5"/>
  <c r="J44" i="5"/>
  <c r="I44" i="5"/>
  <c r="H44" i="5"/>
  <c r="J43" i="5"/>
  <c r="I43" i="5"/>
  <c r="H43" i="5"/>
  <c r="J42" i="5"/>
  <c r="I42" i="5"/>
  <c r="H42" i="5"/>
  <c r="J41" i="5"/>
  <c r="I41" i="5"/>
  <c r="J40" i="5"/>
  <c r="I40" i="5"/>
  <c r="H40" i="5"/>
  <c r="J39" i="5"/>
  <c r="I39" i="5"/>
  <c r="H39" i="5"/>
  <c r="G34" i="5"/>
  <c r="F34" i="5"/>
  <c r="E34" i="5"/>
  <c r="D34" i="5"/>
  <c r="G33" i="5"/>
  <c r="F33" i="5"/>
  <c r="E33" i="5"/>
  <c r="D33" i="5"/>
  <c r="J32" i="5"/>
  <c r="I32" i="5"/>
  <c r="H32" i="5"/>
  <c r="J31" i="5"/>
  <c r="I31" i="5"/>
  <c r="H31" i="5"/>
  <c r="J30" i="5"/>
  <c r="I30" i="5"/>
  <c r="H30" i="5"/>
  <c r="J29" i="5"/>
  <c r="I29" i="5"/>
  <c r="H29" i="5"/>
  <c r="J28" i="5"/>
  <c r="I28" i="5"/>
  <c r="H28" i="5"/>
  <c r="J27" i="5"/>
  <c r="I27" i="5"/>
  <c r="H27" i="5"/>
  <c r="G22" i="5"/>
  <c r="F22" i="5"/>
  <c r="E22" i="5"/>
  <c r="D22" i="5"/>
  <c r="G21" i="5"/>
  <c r="F21" i="5"/>
  <c r="E21" i="5"/>
  <c r="D21" i="5"/>
  <c r="J20" i="5"/>
  <c r="I20" i="5"/>
  <c r="H20" i="5"/>
  <c r="J19" i="5"/>
  <c r="I19" i="5"/>
  <c r="H19" i="5"/>
  <c r="J18" i="5"/>
  <c r="I18" i="5"/>
  <c r="H18" i="5"/>
  <c r="J17" i="5"/>
  <c r="I17" i="5"/>
  <c r="H17" i="5"/>
  <c r="J16" i="5"/>
  <c r="I16" i="5"/>
  <c r="H16" i="5"/>
  <c r="J15" i="5"/>
  <c r="I15" i="5"/>
  <c r="H15" i="5"/>
  <c r="J7" i="5"/>
  <c r="J6" i="5"/>
  <c r="I5" i="5"/>
  <c r="I3" i="5"/>
  <c r="J3" i="5"/>
  <c r="I4" i="5"/>
  <c r="J4" i="5"/>
  <c r="J5" i="5"/>
  <c r="I6" i="5"/>
  <c r="I7" i="5"/>
  <c r="I8" i="5"/>
  <c r="J8" i="5"/>
  <c r="H4" i="5"/>
  <c r="H5" i="5"/>
  <c r="H6" i="5"/>
  <c r="H7" i="5"/>
  <c r="H8" i="5"/>
  <c r="H3" i="5"/>
  <c r="J106" i="5" l="1"/>
  <c r="H93" i="5"/>
  <c r="J82" i="5"/>
  <c r="H69" i="5"/>
  <c r="J69" i="5"/>
  <c r="J57" i="5"/>
  <c r="J45" i="5"/>
  <c r="H45" i="5"/>
  <c r="J34" i="5"/>
  <c r="H21" i="5"/>
  <c r="H105" i="5"/>
  <c r="J105" i="5"/>
  <c r="I105" i="5"/>
  <c r="J93" i="5"/>
  <c r="I94" i="5"/>
  <c r="I93" i="5"/>
  <c r="J94" i="5"/>
  <c r="H81" i="5"/>
  <c r="J81" i="5"/>
  <c r="I81" i="5"/>
  <c r="I69" i="5"/>
  <c r="J70" i="5"/>
  <c r="I57" i="5"/>
  <c r="J58" i="5"/>
  <c r="H57" i="5"/>
  <c r="I58" i="5"/>
  <c r="I45" i="5"/>
  <c r="J46" i="5"/>
  <c r="H33" i="5"/>
  <c r="J33" i="5"/>
  <c r="I33" i="5"/>
  <c r="I22" i="5"/>
  <c r="J21" i="5"/>
  <c r="I21" i="5"/>
  <c r="J22" i="5"/>
  <c r="H106" i="5"/>
  <c r="I106" i="5"/>
  <c r="H94" i="5"/>
  <c r="H82" i="5"/>
  <c r="I82" i="5"/>
  <c r="H70" i="5"/>
  <c r="I70" i="5"/>
  <c r="H58" i="5"/>
  <c r="H46" i="5"/>
  <c r="I46" i="5"/>
  <c r="H34" i="5"/>
  <c r="I34" i="5"/>
  <c r="H22" i="5"/>
  <c r="F9" i="5"/>
  <c r="G9" i="5"/>
  <c r="F10" i="5"/>
  <c r="G10" i="5"/>
  <c r="E9" i="5"/>
  <c r="E10" i="5"/>
  <c r="D10" i="5"/>
  <c r="D9" i="5"/>
  <c r="H9" i="5" l="1"/>
  <c r="I9" i="5"/>
  <c r="I10" i="5"/>
  <c r="H10" i="5" l="1"/>
  <c r="J10" i="5"/>
  <c r="J9" i="5"/>
</calcChain>
</file>

<file path=xl/sharedStrings.xml><?xml version="1.0" encoding="utf-8"?>
<sst xmlns="http://schemas.openxmlformats.org/spreadsheetml/2006/main" count="234" uniqueCount="30">
  <si>
    <t>library name</t>
  </si>
  <si>
    <t>replicate</t>
  </si>
  <si>
    <t>sampling date</t>
  </si>
  <si>
    <t>#reads in FASTQ</t>
  </si>
  <si>
    <t>E/D</t>
  </si>
  <si>
    <t>average</t>
  </si>
  <si>
    <t>s.d</t>
  </si>
  <si>
    <t>20181109.A-TaeRS_1_Tae_RS1_1</t>
  </si>
  <si>
    <t>20181109.A-TaeRS_1_Tae_RS1_2</t>
  </si>
  <si>
    <t>20181109.A-TaeRS_1_Tae_RS1_3</t>
  </si>
  <si>
    <t>20181109.A-TaeRS_1_Tae_RS1_16</t>
  </si>
  <si>
    <t>20181109.A-TaeRS_1_Tae_RS1_17</t>
  </si>
  <si>
    <t>20181109.A-TaeRS_1_Tae_RS1_18</t>
  </si>
  <si>
    <t>control</t>
  </si>
  <si>
    <t>cold</t>
  </si>
  <si>
    <t>IWGSC</t>
  </si>
  <si>
    <t>Unassigned_NoFeatures</t>
  </si>
  <si>
    <t>Unassigned_Ambiguity</t>
  </si>
  <si>
    <t>Assigned</t>
  </si>
  <si>
    <t>G/D</t>
  </si>
  <si>
    <t>H/D</t>
  </si>
  <si>
    <t>IWGSC+0.5k</t>
  </si>
  <si>
    <t>IWGSC+1.0k</t>
  </si>
  <si>
    <t>IWGSC+1.5k</t>
  </si>
  <si>
    <t>IWGSC+2.0k</t>
  </si>
  <si>
    <t>IWGSC+2.5k</t>
  </si>
  <si>
    <t>IWGSC+3.0k</t>
  </si>
  <si>
    <t>IWGSC+3.5k</t>
  </si>
  <si>
    <t>IWGSC+4.0k</t>
  </si>
  <si>
    <t># 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</si>
</sst>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_(* #,##0.0_);_(* \(#,##0.0\);_(* &quot;-&quot;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10" fontId="0" fillId="0" borderId="0" xfId="2" applyNumberFormat="1" applyFont="1"/>
    <xf numFmtId="41" fontId="0" fillId="0" borderId="0" xfId="1" applyFont="1"/>
    <xf numFmtId="0" fontId="0" fillId="0" borderId="0" xfId="0" applyBorder="1"/>
    <xf numFmtId="0" fontId="0" fillId="0" borderId="0" xfId="0" applyNumberFormat="1" applyBorder="1"/>
    <xf numFmtId="41" fontId="0" fillId="0" borderId="0" xfId="1" applyFont="1" applyBorder="1"/>
    <xf numFmtId="0" fontId="0" fillId="0" borderId="1" xfId="0" applyBorder="1"/>
    <xf numFmtId="0" fontId="0" fillId="0" borderId="1" xfId="0" applyNumberFormat="1" applyBorder="1"/>
    <xf numFmtId="14" fontId="0" fillId="0" borderId="1" xfId="0" applyNumberFormat="1" applyBorder="1"/>
    <xf numFmtId="41" fontId="0" fillId="0" borderId="1" xfId="1" applyFont="1" applyBorder="1"/>
    <xf numFmtId="10" fontId="0" fillId="0" borderId="1" xfId="2" applyNumberFormat="1" applyFont="1" applyBorder="1"/>
    <xf numFmtId="0" fontId="0" fillId="0" borderId="2" xfId="0" applyBorder="1"/>
    <xf numFmtId="0" fontId="0" fillId="0" borderId="2" xfId="0" applyNumberFormat="1" applyBorder="1"/>
    <xf numFmtId="41" fontId="0" fillId="0" borderId="2" xfId="1" applyFont="1" applyBorder="1"/>
    <xf numFmtId="0" fontId="0" fillId="0" borderId="1" xfId="0" applyFill="1" applyBorder="1"/>
    <xf numFmtId="164" fontId="0" fillId="0" borderId="1" xfId="1" applyNumberFormat="1" applyFont="1" applyBorder="1"/>
    <xf numFmtId="164" fontId="0" fillId="0" borderId="0" xfId="1" applyNumberFormat="1" applyFont="1"/>
    <xf numFmtId="0" fontId="2" fillId="0" borderId="0" xfId="0" applyFont="1"/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A9DAC-44DC-A24C-A930-C7988F36F145}">
  <dimension ref="A1:K106"/>
  <sheetViews>
    <sheetView tabSelected="1" workbookViewId="0">
      <selection activeCell="G12" sqref="G12"/>
    </sheetView>
  </sheetViews>
  <sheetFormatPr baseColWidth="10" defaultRowHeight="16" x14ac:dyDescent="0.2"/>
  <cols>
    <col min="1" max="1" width="32.5" customWidth="1"/>
    <col min="3" max="3" width="14.83203125" customWidth="1"/>
    <col min="4" max="4" width="16.1640625" customWidth="1"/>
    <col min="5" max="7" width="21.1640625" customWidth="1"/>
  </cols>
  <sheetData>
    <row r="1" spans="1:11" x14ac:dyDescent="0.2">
      <c r="A1" s="18" t="s">
        <v>15</v>
      </c>
    </row>
    <row r="2" spans="1:11" x14ac:dyDescent="0.2">
      <c r="A2" t="s">
        <v>0</v>
      </c>
      <c r="B2" t="s">
        <v>1</v>
      </c>
      <c r="C2" s="7" t="s">
        <v>2</v>
      </c>
      <c r="D2" t="s">
        <v>3</v>
      </c>
      <c r="E2" s="7" t="s">
        <v>18</v>
      </c>
      <c r="F2" s="7" t="s">
        <v>16</v>
      </c>
      <c r="G2" s="7" t="s">
        <v>17</v>
      </c>
      <c r="H2" s="15" t="s">
        <v>4</v>
      </c>
      <c r="I2" s="15" t="s">
        <v>19</v>
      </c>
      <c r="J2" s="15" t="s">
        <v>20</v>
      </c>
      <c r="K2" s="15" t="s">
        <v>29</v>
      </c>
    </row>
    <row r="3" spans="1:11" x14ac:dyDescent="0.2">
      <c r="A3" s="12" t="s">
        <v>7</v>
      </c>
      <c r="B3" s="13">
        <v>1</v>
      </c>
      <c r="C3" s="1" t="s">
        <v>13</v>
      </c>
      <c r="D3" s="14">
        <v>2078810</v>
      </c>
      <c r="E3" s="3">
        <v>973498</v>
      </c>
      <c r="F3" s="3">
        <v>247988</v>
      </c>
      <c r="G3" s="3">
        <v>288</v>
      </c>
      <c r="H3" s="2">
        <f t="shared" ref="H3:J8" si="0">E3/$D3</f>
        <v>0.46829580384931763</v>
      </c>
      <c r="I3" s="2">
        <f t="shared" si="0"/>
        <v>0.11929324950332161</v>
      </c>
      <c r="J3" s="2">
        <f t="shared" si="0"/>
        <v>1.3854079978449209E-4</v>
      </c>
      <c r="K3">
        <v>32712</v>
      </c>
    </row>
    <row r="4" spans="1:11" x14ac:dyDescent="0.2">
      <c r="A4" s="4" t="s">
        <v>8</v>
      </c>
      <c r="B4" s="5">
        <v>2</v>
      </c>
      <c r="C4" s="1" t="s">
        <v>13</v>
      </c>
      <c r="D4" s="6">
        <v>1241292</v>
      </c>
      <c r="E4" s="3">
        <v>606538</v>
      </c>
      <c r="F4" s="3">
        <v>141915</v>
      </c>
      <c r="G4" s="3">
        <v>244</v>
      </c>
      <c r="H4" s="2">
        <f t="shared" si="0"/>
        <v>0.48863442284329556</v>
      </c>
      <c r="I4" s="2">
        <f t="shared" si="0"/>
        <v>0.11432845776819636</v>
      </c>
      <c r="J4" s="2">
        <f t="shared" si="0"/>
        <v>1.96569380935348E-4</v>
      </c>
      <c r="K4">
        <v>26365</v>
      </c>
    </row>
    <row r="5" spans="1:11" x14ac:dyDescent="0.2">
      <c r="A5" s="4" t="s">
        <v>9</v>
      </c>
      <c r="B5" s="5">
        <v>3</v>
      </c>
      <c r="C5" s="1" t="s">
        <v>13</v>
      </c>
      <c r="D5" s="6">
        <v>2874064</v>
      </c>
      <c r="E5" s="3">
        <v>1350355</v>
      </c>
      <c r="F5" s="3">
        <v>288010</v>
      </c>
      <c r="G5" s="3">
        <v>617</v>
      </c>
      <c r="H5" s="2">
        <f t="shared" si="0"/>
        <v>0.46984165975427128</v>
      </c>
      <c r="I5" s="2">
        <f t="shared" si="0"/>
        <v>0.10021001620005679</v>
      </c>
      <c r="J5" s="2">
        <f t="shared" si="0"/>
        <v>2.1467858753319342E-4</v>
      </c>
      <c r="K5">
        <v>32740</v>
      </c>
    </row>
    <row r="6" spans="1:11" x14ac:dyDescent="0.2">
      <c r="A6" s="4" t="s">
        <v>10</v>
      </c>
      <c r="B6" s="5">
        <v>1</v>
      </c>
      <c r="C6" s="1" t="s">
        <v>14</v>
      </c>
      <c r="D6" s="6">
        <v>1393116</v>
      </c>
      <c r="E6" s="6">
        <v>659035</v>
      </c>
      <c r="F6" s="6">
        <v>168949</v>
      </c>
      <c r="G6" s="6">
        <v>205</v>
      </c>
      <c r="H6" s="2">
        <f t="shared" si="0"/>
        <v>0.4730654159452623</v>
      </c>
      <c r="I6" s="2">
        <f t="shared" si="0"/>
        <v>0.12127417960887679</v>
      </c>
      <c r="J6" s="2">
        <f t="shared" si="0"/>
        <v>1.471521395203271E-4</v>
      </c>
      <c r="K6">
        <v>27850</v>
      </c>
    </row>
    <row r="7" spans="1:11" x14ac:dyDescent="0.2">
      <c r="A7" s="4" t="s">
        <v>11</v>
      </c>
      <c r="B7" s="5">
        <v>2</v>
      </c>
      <c r="C7" s="1" t="s">
        <v>14</v>
      </c>
      <c r="D7" s="6">
        <v>3385387</v>
      </c>
      <c r="E7" s="6">
        <v>1698457</v>
      </c>
      <c r="F7" s="6">
        <v>388723</v>
      </c>
      <c r="G7" s="6">
        <v>563</v>
      </c>
      <c r="H7" s="2">
        <f t="shared" si="0"/>
        <v>0.50170246414959352</v>
      </c>
      <c r="I7" s="2">
        <f t="shared" si="0"/>
        <v>0.11482380005594633</v>
      </c>
      <c r="J7" s="2">
        <f t="shared" si="0"/>
        <v>1.6630299578748308E-4</v>
      </c>
      <c r="K7">
        <v>36977</v>
      </c>
    </row>
    <row r="8" spans="1:11" x14ac:dyDescent="0.2">
      <c r="A8" s="7" t="s">
        <v>12</v>
      </c>
      <c r="B8" s="8">
        <v>3</v>
      </c>
      <c r="C8" s="9" t="s">
        <v>14</v>
      </c>
      <c r="D8" s="10">
        <v>3217619</v>
      </c>
      <c r="E8" s="10">
        <v>1597478</v>
      </c>
      <c r="F8" s="10">
        <v>357055</v>
      </c>
      <c r="G8" s="10">
        <v>530</v>
      </c>
      <c r="H8" s="11">
        <f t="shared" si="0"/>
        <v>0.49647829652920372</v>
      </c>
      <c r="I8" s="11">
        <f t="shared" si="0"/>
        <v>0.11096870076910909</v>
      </c>
      <c r="J8" s="11">
        <f t="shared" si="0"/>
        <v>1.6471807258721435E-4</v>
      </c>
      <c r="K8" s="7">
        <v>35682</v>
      </c>
    </row>
    <row r="9" spans="1:11" x14ac:dyDescent="0.2">
      <c r="C9" t="s">
        <v>5</v>
      </c>
      <c r="D9" s="17">
        <f>AVERAGE(D3:D8)</f>
        <v>2365048</v>
      </c>
      <c r="E9" s="17">
        <f t="shared" ref="E9" si="1">AVERAGE(E3:E8)</f>
        <v>1147560.1666666667</v>
      </c>
      <c r="F9" s="17">
        <f t="shared" ref="F9" si="2">AVERAGE(F3:F8)</f>
        <v>265440</v>
      </c>
      <c r="G9" s="17">
        <f t="shared" ref="G9" si="3">AVERAGE(G3:G8)</f>
        <v>407.83333333333331</v>
      </c>
      <c r="H9" s="2">
        <f t="shared" ref="H9" si="4">AVERAGE(H3:H8)</f>
        <v>0.48300301051182393</v>
      </c>
      <c r="I9" s="2">
        <f t="shared" ref="I9" si="5">AVERAGE(I3:I8)</f>
        <v>0.11348306731758451</v>
      </c>
      <c r="J9" s="2">
        <f t="shared" ref="J9" si="6">AVERAGE(J3:J8)</f>
        <v>1.7132699602467636E-4</v>
      </c>
      <c r="K9" s="17">
        <f>AVERAGE(K3:K8)</f>
        <v>32054.333333333332</v>
      </c>
    </row>
    <row r="10" spans="1:11" x14ac:dyDescent="0.2">
      <c r="A10" s="7"/>
      <c r="B10" s="7"/>
      <c r="C10" s="7" t="s">
        <v>6</v>
      </c>
      <c r="D10" s="16">
        <f>STDEV(D3:D8)</f>
        <v>929137.00023430341</v>
      </c>
      <c r="E10" s="16">
        <f t="shared" ref="E10" si="7">STDEV(E3:E8)</f>
        <v>470892.46825805848</v>
      </c>
      <c r="F10" s="16">
        <f t="shared" ref="F10:G10" si="8">STDEV(F3:F8)</f>
        <v>98969.613744825736</v>
      </c>
      <c r="G10" s="16">
        <f t="shared" si="8"/>
        <v>181.71121777883354</v>
      </c>
      <c r="H10" s="11">
        <f t="shared" ref="H10:J10" si="9">STDEV(H3:H8)</f>
        <v>1.4499962564053006E-2</v>
      </c>
      <c r="I10" s="11">
        <f t="shared" si="9"/>
        <v>7.4761998657777926E-3</v>
      </c>
      <c r="J10" s="11">
        <f t="shared" si="9"/>
        <v>2.9136970606400161E-5</v>
      </c>
      <c r="K10" s="16">
        <f>STDEV(K3:K8)</f>
        <v>4203.3369918038461</v>
      </c>
    </row>
    <row r="13" spans="1:11" x14ac:dyDescent="0.2">
      <c r="A13" s="18" t="s">
        <v>21</v>
      </c>
    </row>
    <row r="14" spans="1:11" x14ac:dyDescent="0.2">
      <c r="A14" t="s">
        <v>0</v>
      </c>
      <c r="B14" t="s">
        <v>1</v>
      </c>
      <c r="C14" s="7" t="s">
        <v>2</v>
      </c>
      <c r="D14" t="s">
        <v>3</v>
      </c>
      <c r="E14" s="7" t="s">
        <v>18</v>
      </c>
      <c r="F14" s="7" t="s">
        <v>16</v>
      </c>
      <c r="G14" s="7" t="s">
        <v>17</v>
      </c>
      <c r="H14" s="15" t="s">
        <v>4</v>
      </c>
      <c r="I14" s="15" t="s">
        <v>19</v>
      </c>
      <c r="J14" s="15" t="s">
        <v>20</v>
      </c>
      <c r="K14" s="15" t="s">
        <v>29</v>
      </c>
    </row>
    <row r="15" spans="1:11" x14ac:dyDescent="0.2">
      <c r="A15" s="12" t="s">
        <v>7</v>
      </c>
      <c r="B15" s="13">
        <v>1</v>
      </c>
      <c r="C15" s="1" t="s">
        <v>13</v>
      </c>
      <c r="D15" s="14">
        <v>2078810</v>
      </c>
      <c r="E15" s="3">
        <v>1077513</v>
      </c>
      <c r="F15" s="3">
        <v>143757</v>
      </c>
      <c r="G15" s="3">
        <v>50</v>
      </c>
      <c r="H15" s="2">
        <f t="shared" ref="H15:J20" si="10">E15/$D15</f>
        <v>0.51833164166037304</v>
      </c>
      <c r="I15" s="2">
        <f t="shared" si="10"/>
        <v>6.9153506092427874E-2</v>
      </c>
      <c r="J15" s="2">
        <f t="shared" si="10"/>
        <v>2.4052222184807654E-5</v>
      </c>
      <c r="K15">
        <v>34933</v>
      </c>
    </row>
    <row r="16" spans="1:11" x14ac:dyDescent="0.2">
      <c r="A16" s="4" t="s">
        <v>8</v>
      </c>
      <c r="B16" s="5">
        <v>2</v>
      </c>
      <c r="C16" s="1" t="s">
        <v>13</v>
      </c>
      <c r="D16" s="6">
        <v>1241292</v>
      </c>
      <c r="E16" s="3">
        <v>668330</v>
      </c>
      <c r="F16" s="3">
        <v>79990</v>
      </c>
      <c r="G16" s="3">
        <v>377</v>
      </c>
      <c r="H16" s="2">
        <f t="shared" si="10"/>
        <v>0.53841481295295546</v>
      </c>
      <c r="I16" s="2">
        <f t="shared" si="10"/>
        <v>6.4440921233682322E-2</v>
      </c>
      <c r="J16" s="2">
        <f t="shared" si="10"/>
        <v>3.0371580578945163E-4</v>
      </c>
      <c r="K16">
        <v>28206</v>
      </c>
    </row>
    <row r="17" spans="1:11" x14ac:dyDescent="0.2">
      <c r="A17" s="4" t="s">
        <v>9</v>
      </c>
      <c r="B17" s="5">
        <v>3</v>
      </c>
      <c r="C17" s="1" t="s">
        <v>13</v>
      </c>
      <c r="D17" s="6">
        <v>2874064</v>
      </c>
      <c r="E17" s="3">
        <v>1481618</v>
      </c>
      <c r="F17" s="3">
        <v>156430</v>
      </c>
      <c r="G17" s="3">
        <v>934</v>
      </c>
      <c r="H17" s="2">
        <f t="shared" si="10"/>
        <v>0.51551322447934356</v>
      </c>
      <c r="I17" s="2">
        <f t="shared" si="10"/>
        <v>5.4428154696624709E-2</v>
      </c>
      <c r="J17" s="2">
        <f t="shared" si="10"/>
        <v>3.2497536589303508E-4</v>
      </c>
      <c r="K17">
        <v>34888</v>
      </c>
    </row>
    <row r="18" spans="1:11" x14ac:dyDescent="0.2">
      <c r="A18" s="4" t="s">
        <v>10</v>
      </c>
      <c r="B18" s="5">
        <v>1</v>
      </c>
      <c r="C18" s="1" t="s">
        <v>14</v>
      </c>
      <c r="D18" s="6">
        <v>1393116</v>
      </c>
      <c r="E18" s="6">
        <v>730573</v>
      </c>
      <c r="F18" s="6">
        <v>97314</v>
      </c>
      <c r="G18" s="6">
        <v>302</v>
      </c>
      <c r="H18" s="2">
        <f t="shared" si="10"/>
        <v>0.52441648793065332</v>
      </c>
      <c r="I18" s="2">
        <f t="shared" si="10"/>
        <v>6.9853479537956634E-2</v>
      </c>
      <c r="J18" s="2">
        <f t="shared" si="10"/>
        <v>2.1678022504945747E-4</v>
      </c>
      <c r="K18">
        <v>29815</v>
      </c>
    </row>
    <row r="19" spans="1:11" x14ac:dyDescent="0.2">
      <c r="A19" s="4" t="s">
        <v>11</v>
      </c>
      <c r="B19" s="5">
        <v>2</v>
      </c>
      <c r="C19" s="1" t="s">
        <v>14</v>
      </c>
      <c r="D19" s="6">
        <v>3385387</v>
      </c>
      <c r="E19" s="6">
        <v>1872457</v>
      </c>
      <c r="F19" s="6">
        <v>214412</v>
      </c>
      <c r="G19" s="6">
        <v>874</v>
      </c>
      <c r="H19" s="2">
        <f t="shared" si="10"/>
        <v>0.55309983762565407</v>
      </c>
      <c r="I19" s="2">
        <f t="shared" si="10"/>
        <v>6.3334561159477484E-2</v>
      </c>
      <c r="J19" s="2">
        <f t="shared" si="10"/>
        <v>2.5816841619584409E-4</v>
      </c>
      <c r="K19">
        <v>39207</v>
      </c>
    </row>
    <row r="20" spans="1:11" x14ac:dyDescent="0.2">
      <c r="A20" s="7" t="s">
        <v>12</v>
      </c>
      <c r="B20" s="8">
        <v>3</v>
      </c>
      <c r="C20" s="9" t="s">
        <v>14</v>
      </c>
      <c r="D20" s="10">
        <v>3217619</v>
      </c>
      <c r="E20" s="10">
        <v>1762612</v>
      </c>
      <c r="F20" s="10">
        <v>191658</v>
      </c>
      <c r="G20" s="10">
        <v>793</v>
      </c>
      <c r="H20" s="11">
        <f t="shared" si="10"/>
        <v>0.54780009690395293</v>
      </c>
      <c r="I20" s="11">
        <f t="shared" si="10"/>
        <v>5.9565162935698725E-2</v>
      </c>
      <c r="J20" s="11">
        <f t="shared" si="10"/>
        <v>2.4645553124841692E-4</v>
      </c>
      <c r="K20" s="7">
        <v>37813</v>
      </c>
    </row>
    <row r="21" spans="1:11" x14ac:dyDescent="0.2">
      <c r="C21" t="s">
        <v>5</v>
      </c>
      <c r="D21" s="17">
        <f>AVERAGE(D15:D20)</f>
        <v>2365048</v>
      </c>
      <c r="E21" s="17">
        <f t="shared" ref="E21" si="11">AVERAGE(E15:E20)</f>
        <v>1265517.1666666667</v>
      </c>
      <c r="F21" s="17">
        <f t="shared" ref="F21" si="12">AVERAGE(F15:F20)</f>
        <v>147260.16666666666</v>
      </c>
      <c r="G21" s="17">
        <f t="shared" ref="G21" si="13">AVERAGE(G15:G20)</f>
        <v>555</v>
      </c>
      <c r="H21" s="2">
        <f t="shared" ref="H21" si="14">AVERAGE(H15:H20)</f>
        <v>0.53292935025882204</v>
      </c>
      <c r="I21" s="2">
        <f t="shared" ref="I21" si="15">AVERAGE(I15:I20)</f>
        <v>6.3462630942644635E-2</v>
      </c>
      <c r="J21" s="2">
        <f t="shared" ref="J21" si="16">AVERAGE(J15:J20)</f>
        <v>2.2902459439350215E-4</v>
      </c>
      <c r="K21" s="17">
        <f>AVERAGE(K15:K20)</f>
        <v>34143.666666666664</v>
      </c>
    </row>
    <row r="22" spans="1:11" x14ac:dyDescent="0.2">
      <c r="A22" s="7"/>
      <c r="B22" s="7"/>
      <c r="C22" s="7" t="s">
        <v>6</v>
      </c>
      <c r="D22" s="16">
        <f>STDEV(D15:D20)</f>
        <v>929137.00023430341</v>
      </c>
      <c r="E22" s="16">
        <f t="shared" ref="E22:J22" si="17">STDEV(E15:E20)</f>
        <v>517749.38820762193</v>
      </c>
      <c r="F22" s="16">
        <f t="shared" si="17"/>
        <v>52147.462513210223</v>
      </c>
      <c r="G22" s="16">
        <f t="shared" si="17"/>
        <v>361.32090999553293</v>
      </c>
      <c r="H22" s="11">
        <f t="shared" si="17"/>
        <v>1.5792158344432421E-2</v>
      </c>
      <c r="I22" s="11">
        <f t="shared" si="17"/>
        <v>5.8483241600750212E-3</v>
      </c>
      <c r="J22" s="11">
        <f t="shared" si="17"/>
        <v>1.077980755575253E-4</v>
      </c>
      <c r="K22" s="16">
        <f>STDEV(K15:K20)</f>
        <v>4342.157789241036</v>
      </c>
    </row>
    <row r="25" spans="1:11" x14ac:dyDescent="0.2">
      <c r="A25" s="18" t="s">
        <v>22</v>
      </c>
    </row>
    <row r="26" spans="1:11" x14ac:dyDescent="0.2">
      <c r="A26" t="s">
        <v>0</v>
      </c>
      <c r="B26" t="s">
        <v>1</v>
      </c>
      <c r="C26" s="7" t="s">
        <v>2</v>
      </c>
      <c r="D26" t="s">
        <v>3</v>
      </c>
      <c r="E26" s="7" t="s">
        <v>18</v>
      </c>
      <c r="F26" s="7" t="s">
        <v>16</v>
      </c>
      <c r="G26" s="7" t="s">
        <v>17</v>
      </c>
      <c r="H26" s="15" t="s">
        <v>4</v>
      </c>
      <c r="I26" s="15" t="s">
        <v>19</v>
      </c>
      <c r="J26" s="15" t="s">
        <v>20</v>
      </c>
      <c r="K26" s="15" t="s">
        <v>29</v>
      </c>
    </row>
    <row r="27" spans="1:11" x14ac:dyDescent="0.2">
      <c r="A27" s="12" t="s">
        <v>7</v>
      </c>
      <c r="B27" s="13">
        <v>1</v>
      </c>
      <c r="C27" s="1" t="s">
        <v>13</v>
      </c>
      <c r="D27" s="14">
        <v>2078810</v>
      </c>
      <c r="E27" s="3">
        <v>1083844</v>
      </c>
      <c r="F27" s="3">
        <v>137007</v>
      </c>
      <c r="G27" s="3">
        <v>923</v>
      </c>
      <c r="H27" s="2">
        <f t="shared" ref="H27:J32" si="18">E27/$D27</f>
        <v>0.52137713403341335</v>
      </c>
      <c r="I27" s="2">
        <f t="shared" si="18"/>
        <v>6.5906456097478847E-2</v>
      </c>
      <c r="J27" s="2">
        <f t="shared" si="18"/>
        <v>4.4400402153154929E-4</v>
      </c>
      <c r="K27">
        <v>35216</v>
      </c>
    </row>
    <row r="28" spans="1:11" x14ac:dyDescent="0.2">
      <c r="A28" s="4" t="s">
        <v>8</v>
      </c>
      <c r="B28" s="5">
        <v>2</v>
      </c>
      <c r="C28" s="1" t="s">
        <v>13</v>
      </c>
      <c r="D28" s="6">
        <v>1241292</v>
      </c>
      <c r="E28" s="3">
        <v>671436</v>
      </c>
      <c r="F28" s="3">
        <v>76688</v>
      </c>
      <c r="G28" s="3">
        <v>573</v>
      </c>
      <c r="H28" s="2">
        <f t="shared" si="18"/>
        <v>0.54091704449879641</v>
      </c>
      <c r="I28" s="2">
        <f t="shared" si="18"/>
        <v>6.1780789693319543E-2</v>
      </c>
      <c r="J28" s="2">
        <f t="shared" si="18"/>
        <v>4.6161580031128856E-4</v>
      </c>
      <c r="K28">
        <v>28402</v>
      </c>
    </row>
    <row r="29" spans="1:11" x14ac:dyDescent="0.2">
      <c r="A29" s="4" t="s">
        <v>9</v>
      </c>
      <c r="B29" s="5">
        <v>3</v>
      </c>
      <c r="C29" s="1" t="s">
        <v>13</v>
      </c>
      <c r="D29" s="6">
        <v>2874064</v>
      </c>
      <c r="E29" s="3">
        <v>1487159</v>
      </c>
      <c r="F29" s="3">
        <v>150428</v>
      </c>
      <c r="G29" s="3">
        <v>1395</v>
      </c>
      <c r="H29" s="2">
        <f t="shared" si="18"/>
        <v>0.51744115649477529</v>
      </c>
      <c r="I29" s="2">
        <f t="shared" si="18"/>
        <v>5.233982263442985E-2</v>
      </c>
      <c r="J29" s="2">
        <f t="shared" si="18"/>
        <v>4.8537541265608559E-4</v>
      </c>
      <c r="K29">
        <v>35128</v>
      </c>
    </row>
    <row r="30" spans="1:11" x14ac:dyDescent="0.2">
      <c r="A30" s="4" t="s">
        <v>10</v>
      </c>
      <c r="B30" s="5">
        <v>1</v>
      </c>
      <c r="C30" s="1" t="s">
        <v>14</v>
      </c>
      <c r="D30" s="6">
        <v>1393116</v>
      </c>
      <c r="E30" s="6">
        <v>734421</v>
      </c>
      <c r="F30" s="6">
        <v>93342</v>
      </c>
      <c r="G30" s="6">
        <v>426</v>
      </c>
      <c r="H30" s="2">
        <f t="shared" si="18"/>
        <v>0.52717864126174707</v>
      </c>
      <c r="I30" s="2">
        <f t="shared" si="18"/>
        <v>6.7002317107835954E-2</v>
      </c>
      <c r="J30" s="2">
        <f t="shared" si="18"/>
        <v>3.0578932407638703E-4</v>
      </c>
      <c r="K30">
        <v>30038</v>
      </c>
    </row>
    <row r="31" spans="1:11" x14ac:dyDescent="0.2">
      <c r="A31" s="4" t="s">
        <v>11</v>
      </c>
      <c r="B31" s="5">
        <v>2</v>
      </c>
      <c r="C31" s="1" t="s">
        <v>14</v>
      </c>
      <c r="D31" s="6">
        <v>3385387</v>
      </c>
      <c r="E31" s="6">
        <v>1881309</v>
      </c>
      <c r="F31" s="6">
        <v>205168</v>
      </c>
      <c r="G31" s="6">
        <v>1266</v>
      </c>
      <c r="H31" s="2">
        <f t="shared" si="18"/>
        <v>0.55571460515444759</v>
      </c>
      <c r="I31" s="2">
        <f t="shared" si="18"/>
        <v>6.0604001846760798E-2</v>
      </c>
      <c r="J31" s="2">
        <f t="shared" si="18"/>
        <v>3.739602001189229E-4</v>
      </c>
      <c r="K31">
        <v>39476</v>
      </c>
    </row>
    <row r="32" spans="1:11" x14ac:dyDescent="0.2">
      <c r="A32" s="7" t="s">
        <v>12</v>
      </c>
      <c r="B32" s="8">
        <v>3</v>
      </c>
      <c r="C32" s="9" t="s">
        <v>14</v>
      </c>
      <c r="D32" s="10">
        <v>3217619</v>
      </c>
      <c r="E32" s="10">
        <v>1770764</v>
      </c>
      <c r="F32" s="10">
        <v>183037</v>
      </c>
      <c r="G32" s="10">
        <v>1262</v>
      </c>
      <c r="H32" s="11">
        <f t="shared" si="18"/>
        <v>0.55033364733363399</v>
      </c>
      <c r="I32" s="11">
        <f t="shared" si="18"/>
        <v>5.6885852551218773E-2</v>
      </c>
      <c r="J32" s="11">
        <f t="shared" si="18"/>
        <v>3.9221548604729151E-4</v>
      </c>
      <c r="K32" s="7">
        <v>38076</v>
      </c>
    </row>
    <row r="33" spans="1:11" x14ac:dyDescent="0.2">
      <c r="C33" t="s">
        <v>5</v>
      </c>
      <c r="D33" s="17">
        <f>AVERAGE(D27:D32)</f>
        <v>2365048</v>
      </c>
      <c r="E33" s="17">
        <f t="shared" ref="E33" si="19">AVERAGE(E27:E32)</f>
        <v>1271488.8333333333</v>
      </c>
      <c r="F33" s="17">
        <f t="shared" ref="F33" si="20">AVERAGE(F27:F32)</f>
        <v>140945</v>
      </c>
      <c r="G33" s="17">
        <f t="shared" ref="G33" si="21">AVERAGE(G27:G32)</f>
        <v>974.16666666666663</v>
      </c>
      <c r="H33" s="2">
        <f t="shared" ref="H33" si="22">AVERAGE(H27:H32)</f>
        <v>0.53549370479613556</v>
      </c>
      <c r="I33" s="2">
        <f t="shared" ref="I33" si="23">AVERAGE(I27:I32)</f>
        <v>6.0753206655173954E-2</v>
      </c>
      <c r="J33" s="2">
        <f t="shared" ref="J33" si="24">AVERAGE(J27:J32)</f>
        <v>4.1049337412358742E-4</v>
      </c>
      <c r="K33" s="17">
        <f>AVERAGE(K27:K32)</f>
        <v>34389.333333333336</v>
      </c>
    </row>
    <row r="34" spans="1:11" x14ac:dyDescent="0.2">
      <c r="A34" s="7"/>
      <c r="B34" s="7"/>
      <c r="C34" s="7" t="s">
        <v>6</v>
      </c>
      <c r="D34" s="16">
        <f>STDEV(D27:D32)</f>
        <v>929137.00023430341</v>
      </c>
      <c r="E34" s="16">
        <f t="shared" ref="E34:J34" si="25">STDEV(E27:E32)</f>
        <v>519881.86973250646</v>
      </c>
      <c r="F34" s="16">
        <f t="shared" si="25"/>
        <v>49793.11796624108</v>
      </c>
      <c r="G34" s="16">
        <f t="shared" si="25"/>
        <v>402.2821977998363</v>
      </c>
      <c r="H34" s="11">
        <f t="shared" si="25"/>
        <v>1.582929986575719E-2</v>
      </c>
      <c r="I34" s="11">
        <f t="shared" si="25"/>
        <v>5.5213586857804217E-3</v>
      </c>
      <c r="J34" s="11">
        <f t="shared" si="25"/>
        <v>6.6295516794835497E-5</v>
      </c>
      <c r="K34" s="16">
        <f>STDEV(K27:K32)</f>
        <v>4369.8273955233744</v>
      </c>
    </row>
    <row r="37" spans="1:11" x14ac:dyDescent="0.2">
      <c r="A37" s="18" t="s">
        <v>23</v>
      </c>
    </row>
    <row r="38" spans="1:11" x14ac:dyDescent="0.2">
      <c r="A38" t="s">
        <v>0</v>
      </c>
      <c r="B38" t="s">
        <v>1</v>
      </c>
      <c r="C38" s="7" t="s">
        <v>2</v>
      </c>
      <c r="D38" t="s">
        <v>3</v>
      </c>
      <c r="E38" s="7" t="s">
        <v>18</v>
      </c>
      <c r="F38" s="7" t="s">
        <v>16</v>
      </c>
      <c r="G38" s="7" t="s">
        <v>17</v>
      </c>
      <c r="H38" s="15" t="s">
        <v>4</v>
      </c>
      <c r="I38" s="15" t="s">
        <v>19</v>
      </c>
      <c r="J38" s="15" t="s">
        <v>20</v>
      </c>
      <c r="K38" s="15" t="s">
        <v>29</v>
      </c>
    </row>
    <row r="39" spans="1:11" x14ac:dyDescent="0.2">
      <c r="A39" s="12" t="s">
        <v>7</v>
      </c>
      <c r="B39" s="13">
        <v>1</v>
      </c>
      <c r="C39" s="1" t="s">
        <v>13</v>
      </c>
      <c r="D39" s="14">
        <v>2078810</v>
      </c>
      <c r="E39" s="3">
        <v>1087502</v>
      </c>
      <c r="F39" s="3">
        <v>133187</v>
      </c>
      <c r="G39" s="3">
        <v>1085</v>
      </c>
      <c r="H39" s="2">
        <f t="shared" ref="H39:J44" si="26">E39/$D39</f>
        <v>0.52313679460845386</v>
      </c>
      <c r="I39" s="2">
        <f t="shared" si="26"/>
        <v>6.4068866322559537E-2</v>
      </c>
      <c r="J39" s="2">
        <f t="shared" si="26"/>
        <v>5.2193322141032609E-4</v>
      </c>
      <c r="K39">
        <v>35366</v>
      </c>
    </row>
    <row r="40" spans="1:11" x14ac:dyDescent="0.2">
      <c r="A40" s="4" t="s">
        <v>8</v>
      </c>
      <c r="B40" s="5">
        <v>2</v>
      </c>
      <c r="C40" s="1" t="s">
        <v>13</v>
      </c>
      <c r="D40" s="6">
        <v>1241292</v>
      </c>
      <c r="E40" s="3">
        <v>672906</v>
      </c>
      <c r="F40" s="3">
        <v>75129</v>
      </c>
      <c r="G40" s="3">
        <v>662</v>
      </c>
      <c r="H40" s="2">
        <f t="shared" si="26"/>
        <v>0.54210129445771016</v>
      </c>
      <c r="I40" s="2">
        <f t="shared" si="26"/>
        <v>6.0524840247097381E-2</v>
      </c>
      <c r="J40" s="2">
        <f t="shared" si="26"/>
        <v>5.3331528761967366E-4</v>
      </c>
      <c r="K40">
        <v>28504</v>
      </c>
    </row>
    <row r="41" spans="1:11" x14ac:dyDescent="0.2">
      <c r="A41" s="4" t="s">
        <v>9</v>
      </c>
      <c r="B41" s="5">
        <v>3</v>
      </c>
      <c r="C41" s="1" t="s">
        <v>13</v>
      </c>
      <c r="D41" s="6">
        <v>2874064</v>
      </c>
      <c r="E41" s="3">
        <v>1490151</v>
      </c>
      <c r="F41" s="3">
        <v>147159</v>
      </c>
      <c r="G41" s="3">
        <v>1672</v>
      </c>
      <c r="H41" s="2">
        <f t="shared" si="26"/>
        <v>0.51848219107159754</v>
      </c>
      <c r="I41" s="2">
        <f t="shared" si="26"/>
        <v>5.1202408853804227E-2</v>
      </c>
      <c r="J41" s="2">
        <f t="shared" si="26"/>
        <v>5.8175461645948033E-4</v>
      </c>
      <c r="K41">
        <v>35263</v>
      </c>
    </row>
    <row r="42" spans="1:11" x14ac:dyDescent="0.2">
      <c r="A42" s="4" t="s">
        <v>10</v>
      </c>
      <c r="B42" s="5">
        <v>1</v>
      </c>
      <c r="C42" s="1" t="s">
        <v>14</v>
      </c>
      <c r="D42" s="6">
        <v>1393116</v>
      </c>
      <c r="E42" s="6">
        <v>736750</v>
      </c>
      <c r="F42" s="6">
        <v>90948</v>
      </c>
      <c r="G42" s="6">
        <v>491</v>
      </c>
      <c r="H42" s="2">
        <f t="shared" si="26"/>
        <v>0.52885043312976088</v>
      </c>
      <c r="I42" s="2">
        <f t="shared" si="26"/>
        <v>6.5283867244364427E-2</v>
      </c>
      <c r="J42" s="2">
        <f t="shared" si="26"/>
        <v>3.5244731953405171E-4</v>
      </c>
      <c r="K42">
        <v>30165</v>
      </c>
    </row>
    <row r="43" spans="1:11" x14ac:dyDescent="0.2">
      <c r="A43" s="4" t="s">
        <v>11</v>
      </c>
      <c r="B43" s="5">
        <v>2</v>
      </c>
      <c r="C43" s="1" t="s">
        <v>14</v>
      </c>
      <c r="D43" s="6">
        <v>3385387</v>
      </c>
      <c r="E43" s="6">
        <v>1885692</v>
      </c>
      <c r="F43" s="6">
        <v>200468</v>
      </c>
      <c r="G43" s="6">
        <v>1583</v>
      </c>
      <c r="H43" s="2">
        <f t="shared" si="26"/>
        <v>0.55700928726907739</v>
      </c>
      <c r="I43" s="2">
        <f t="shared" si="26"/>
        <v>5.9215681988499393E-2</v>
      </c>
      <c r="J43" s="2">
        <f t="shared" si="26"/>
        <v>4.6759794375059632E-4</v>
      </c>
      <c r="K43">
        <v>39639</v>
      </c>
    </row>
    <row r="44" spans="1:11" x14ac:dyDescent="0.2">
      <c r="A44" s="7" t="s">
        <v>12</v>
      </c>
      <c r="B44" s="8">
        <v>3</v>
      </c>
      <c r="C44" s="9" t="s">
        <v>14</v>
      </c>
      <c r="D44" s="10">
        <v>3217619</v>
      </c>
      <c r="E44" s="10">
        <v>1774899</v>
      </c>
      <c r="F44" s="10">
        <v>178521</v>
      </c>
      <c r="G44" s="10">
        <v>1643</v>
      </c>
      <c r="H44" s="11">
        <f t="shared" si="26"/>
        <v>0.55161875908863045</v>
      </c>
      <c r="I44" s="11">
        <f t="shared" si="26"/>
        <v>5.5482330257249225E-2</v>
      </c>
      <c r="J44" s="11">
        <f t="shared" si="26"/>
        <v>5.1062602502036439E-4</v>
      </c>
      <c r="K44" s="7">
        <v>38221</v>
      </c>
    </row>
    <row r="45" spans="1:11" x14ac:dyDescent="0.2">
      <c r="C45" t="s">
        <v>5</v>
      </c>
      <c r="D45" s="17">
        <f>AVERAGE(D39:D44)</f>
        <v>2365048</v>
      </c>
      <c r="E45" s="17">
        <f t="shared" ref="E45" si="27">AVERAGE(E39:E44)</f>
        <v>1274650</v>
      </c>
      <c r="F45" s="17">
        <f t="shared" ref="F45" si="28">AVERAGE(F39:F44)</f>
        <v>137568.66666666666</v>
      </c>
      <c r="G45" s="17">
        <f t="shared" ref="G45" si="29">AVERAGE(G39:G44)</f>
        <v>1189.3333333333333</v>
      </c>
      <c r="H45" s="2">
        <f t="shared" ref="H45" si="30">AVERAGE(H39:H44)</f>
        <v>0.53686645993753845</v>
      </c>
      <c r="I45" s="2">
        <f t="shared" ref="I45" si="31">AVERAGE(I39:I44)</f>
        <v>5.9296332485595703E-2</v>
      </c>
      <c r="J45" s="2">
        <f t="shared" ref="J45" si="32">AVERAGE(J39:J44)</f>
        <v>4.9461240229908214E-4</v>
      </c>
      <c r="K45" s="17">
        <f>AVERAGE(K39:K44)</f>
        <v>34526.333333333336</v>
      </c>
    </row>
    <row r="46" spans="1:11" x14ac:dyDescent="0.2">
      <c r="A46" s="7"/>
      <c r="B46" s="7"/>
      <c r="C46" s="7" t="s">
        <v>6</v>
      </c>
      <c r="D46" s="16">
        <f>STDEV(D39:D44)</f>
        <v>929137.00023430341</v>
      </c>
      <c r="E46" s="16">
        <f t="shared" ref="E46:J46" si="33">STDEV(E39:E44)</f>
        <v>520868.25478349131</v>
      </c>
      <c r="F46" s="16">
        <f t="shared" si="33"/>
        <v>48614.384227990238</v>
      </c>
      <c r="G46" s="16">
        <f t="shared" si="33"/>
        <v>523.52446615861879</v>
      </c>
      <c r="H46" s="11">
        <f t="shared" si="33"/>
        <v>1.5757595331597801E-2</v>
      </c>
      <c r="I46" s="11">
        <f t="shared" si="33"/>
        <v>5.2953111389281845E-3</v>
      </c>
      <c r="J46" s="11">
        <f t="shared" si="33"/>
        <v>7.8784813027309075E-5</v>
      </c>
      <c r="K46" s="16">
        <f>STDEV(K39:K44)</f>
        <v>4389.2452046640774</v>
      </c>
    </row>
    <row r="49" spans="1:11" x14ac:dyDescent="0.2">
      <c r="A49" s="18" t="s">
        <v>24</v>
      </c>
    </row>
    <row r="50" spans="1:11" x14ac:dyDescent="0.2">
      <c r="A50" t="s">
        <v>0</v>
      </c>
      <c r="B50" t="s">
        <v>1</v>
      </c>
      <c r="C50" s="7" t="s">
        <v>2</v>
      </c>
      <c r="D50" t="s">
        <v>3</v>
      </c>
      <c r="E50" s="7" t="s">
        <v>18</v>
      </c>
      <c r="F50" s="7" t="s">
        <v>16</v>
      </c>
      <c r="G50" s="7" t="s">
        <v>17</v>
      </c>
      <c r="H50" s="15" t="s">
        <v>4</v>
      </c>
      <c r="I50" s="15" t="s">
        <v>19</v>
      </c>
      <c r="J50" s="15" t="s">
        <v>20</v>
      </c>
      <c r="K50" s="15" t="s">
        <v>29</v>
      </c>
    </row>
    <row r="51" spans="1:11" x14ac:dyDescent="0.2">
      <c r="A51" s="12" t="s">
        <v>7</v>
      </c>
      <c r="B51" s="13">
        <v>1</v>
      </c>
      <c r="C51" s="1" t="s">
        <v>13</v>
      </c>
      <c r="D51" s="14">
        <v>2078810</v>
      </c>
      <c r="E51" s="3">
        <v>1090765</v>
      </c>
      <c r="F51" s="3">
        <v>129782</v>
      </c>
      <c r="G51" s="3">
        <v>1227</v>
      </c>
      <c r="H51" s="2">
        <f t="shared" ref="H51:J56" si="34">E51/$D51</f>
        <v>0.5247064426282344</v>
      </c>
      <c r="I51" s="2">
        <f t="shared" si="34"/>
        <v>6.2430909991774142E-2</v>
      </c>
      <c r="J51" s="2">
        <f t="shared" si="34"/>
        <v>5.9024153241517979E-4</v>
      </c>
      <c r="K51">
        <v>35510</v>
      </c>
    </row>
    <row r="52" spans="1:11" x14ac:dyDescent="0.2">
      <c r="A52" s="4" t="s">
        <v>8</v>
      </c>
      <c r="B52" s="5">
        <v>2</v>
      </c>
      <c r="C52" s="1" t="s">
        <v>13</v>
      </c>
      <c r="D52" s="6">
        <v>1241292</v>
      </c>
      <c r="E52" s="3">
        <v>674382</v>
      </c>
      <c r="F52" s="3">
        <v>73577</v>
      </c>
      <c r="G52" s="3">
        <v>738</v>
      </c>
      <c r="H52" s="2">
        <f t="shared" si="34"/>
        <v>0.54329037808992564</v>
      </c>
      <c r="I52" s="2">
        <f t="shared" si="34"/>
        <v>5.9274530086393856E-2</v>
      </c>
      <c r="J52" s="2">
        <f t="shared" si="34"/>
        <v>5.945418161077329E-4</v>
      </c>
      <c r="K52">
        <v>28585</v>
      </c>
    </row>
    <row r="53" spans="1:11" x14ac:dyDescent="0.2">
      <c r="A53" s="4" t="s">
        <v>9</v>
      </c>
      <c r="B53" s="5">
        <v>3</v>
      </c>
      <c r="C53" s="1" t="s">
        <v>13</v>
      </c>
      <c r="D53" s="6">
        <v>2874064</v>
      </c>
      <c r="E53" s="3">
        <v>1493046</v>
      </c>
      <c r="F53" s="3">
        <v>144041</v>
      </c>
      <c r="G53" s="3">
        <v>1895</v>
      </c>
      <c r="H53" s="2">
        <f t="shared" si="34"/>
        <v>0.51948947553012037</v>
      </c>
      <c r="I53" s="2">
        <f t="shared" si="34"/>
        <v>5.0117533917129191E-2</v>
      </c>
      <c r="J53" s="2">
        <f t="shared" si="34"/>
        <v>6.5934509461167189E-4</v>
      </c>
      <c r="K53">
        <v>35366</v>
      </c>
    </row>
    <row r="54" spans="1:11" x14ac:dyDescent="0.2">
      <c r="A54" s="4" t="s">
        <v>10</v>
      </c>
      <c r="B54" s="5">
        <v>1</v>
      </c>
      <c r="C54" s="1" t="s">
        <v>14</v>
      </c>
      <c r="D54" s="6">
        <v>1393116</v>
      </c>
      <c r="E54" s="6">
        <v>738597</v>
      </c>
      <c r="F54" s="6">
        <v>89047</v>
      </c>
      <c r="G54" s="6">
        <v>545</v>
      </c>
      <c r="H54" s="2">
        <f t="shared" si="34"/>
        <v>0.53017623801607328</v>
      </c>
      <c r="I54" s="2">
        <f t="shared" si="34"/>
        <v>6.3919300331056417E-2</v>
      </c>
      <c r="J54" s="2">
        <f t="shared" si="34"/>
        <v>3.9120934652965008E-4</v>
      </c>
      <c r="K54">
        <v>30248</v>
      </c>
    </row>
    <row r="55" spans="1:11" x14ac:dyDescent="0.2">
      <c r="A55" s="4" t="s">
        <v>11</v>
      </c>
      <c r="B55" s="5">
        <v>2</v>
      </c>
      <c r="C55" s="1" t="s">
        <v>14</v>
      </c>
      <c r="D55" s="6">
        <v>3385387</v>
      </c>
      <c r="E55" s="6">
        <v>1890040</v>
      </c>
      <c r="F55" s="6">
        <v>195877</v>
      </c>
      <c r="G55" s="6">
        <v>1826</v>
      </c>
      <c r="H55" s="2">
        <f t="shared" si="34"/>
        <v>0.55829363083157113</v>
      </c>
      <c r="I55" s="2">
        <f t="shared" si="34"/>
        <v>5.7859559335461497E-2</v>
      </c>
      <c r="J55" s="2">
        <f t="shared" si="34"/>
        <v>5.3937703429474972E-4</v>
      </c>
      <c r="K55">
        <v>39757</v>
      </c>
    </row>
    <row r="56" spans="1:11" x14ac:dyDescent="0.2">
      <c r="A56" s="7" t="s">
        <v>12</v>
      </c>
      <c r="B56" s="8">
        <v>3</v>
      </c>
      <c r="C56" s="9" t="s">
        <v>14</v>
      </c>
      <c r="D56" s="10">
        <v>3217619</v>
      </c>
      <c r="E56" s="10">
        <v>1778755</v>
      </c>
      <c r="F56" s="10">
        <v>174449</v>
      </c>
      <c r="G56" s="10">
        <v>1859</v>
      </c>
      <c r="H56" s="11">
        <f t="shared" si="34"/>
        <v>0.55281716076390652</v>
      </c>
      <c r="I56" s="11">
        <f t="shared" si="34"/>
        <v>5.4216798197673499E-2</v>
      </c>
      <c r="J56" s="11">
        <f t="shared" si="34"/>
        <v>5.7775640932005931E-4</v>
      </c>
      <c r="K56" s="7">
        <v>38323</v>
      </c>
    </row>
    <row r="57" spans="1:11" x14ac:dyDescent="0.2">
      <c r="C57" t="s">
        <v>5</v>
      </c>
      <c r="D57" s="17">
        <f>AVERAGE(D51:D56)</f>
        <v>2365048</v>
      </c>
      <c r="E57" s="17">
        <f t="shared" ref="E57" si="35">AVERAGE(E51:E56)</f>
        <v>1277597.5</v>
      </c>
      <c r="F57" s="17">
        <f t="shared" ref="F57" si="36">AVERAGE(F51:F56)</f>
        <v>134462.16666666666</v>
      </c>
      <c r="G57" s="17">
        <f t="shared" ref="G57" si="37">AVERAGE(G51:G56)</f>
        <v>1348.3333333333333</v>
      </c>
      <c r="H57" s="2">
        <f t="shared" ref="H57" si="38">AVERAGE(H51:H56)</f>
        <v>0.53812888764330513</v>
      </c>
      <c r="I57" s="2">
        <f t="shared" ref="I57" si="39">AVERAGE(I51:I56)</f>
        <v>5.7969771976581437E-2</v>
      </c>
      <c r="J57" s="2">
        <f t="shared" ref="J57" si="40">AVERAGE(J51:J56)</f>
        <v>5.5874520554650726E-4</v>
      </c>
      <c r="K57" s="17">
        <f>AVERAGE(K51:K56)</f>
        <v>34631.5</v>
      </c>
    </row>
    <row r="58" spans="1:11" x14ac:dyDescent="0.2">
      <c r="A58" s="7"/>
      <c r="B58" s="7"/>
      <c r="C58" s="7" t="s">
        <v>6</v>
      </c>
      <c r="D58" s="16">
        <f>STDEV(D51:D56)</f>
        <v>929137.00023430341</v>
      </c>
      <c r="E58" s="16">
        <f t="shared" ref="E58:J58" si="41">STDEV(E51:E56)</f>
        <v>521911.78819059068</v>
      </c>
      <c r="F58" s="16">
        <f t="shared" si="41"/>
        <v>47442.444045039098</v>
      </c>
      <c r="G58" s="16">
        <f t="shared" si="41"/>
        <v>603.38434406824547</v>
      </c>
      <c r="H58" s="11">
        <f t="shared" si="41"/>
        <v>1.5746984276018713E-2</v>
      </c>
      <c r="I58" s="11">
        <f t="shared" si="41"/>
        <v>5.1527785768488849E-3</v>
      </c>
      <c r="J58" s="11">
        <f t="shared" si="41"/>
        <v>9.0772869952301187E-5</v>
      </c>
      <c r="K58" s="16">
        <f>STDEV(K51:K56)</f>
        <v>4404.1891308162503</v>
      </c>
    </row>
    <row r="61" spans="1:11" x14ac:dyDescent="0.2">
      <c r="A61" s="18" t="s">
        <v>25</v>
      </c>
    </row>
    <row r="62" spans="1:11" x14ac:dyDescent="0.2">
      <c r="A62" t="s">
        <v>0</v>
      </c>
      <c r="B62" t="s">
        <v>1</v>
      </c>
      <c r="C62" s="7" t="s">
        <v>2</v>
      </c>
      <c r="D62" t="s">
        <v>3</v>
      </c>
      <c r="E62" s="7" t="s">
        <v>18</v>
      </c>
      <c r="F62" s="7" t="s">
        <v>16</v>
      </c>
      <c r="G62" s="7" t="s">
        <v>17</v>
      </c>
      <c r="H62" s="15" t="s">
        <v>4</v>
      </c>
      <c r="I62" s="15" t="s">
        <v>19</v>
      </c>
      <c r="J62" s="15" t="s">
        <v>20</v>
      </c>
      <c r="K62" s="15" t="s">
        <v>29</v>
      </c>
    </row>
    <row r="63" spans="1:11" x14ac:dyDescent="0.2">
      <c r="A63" s="12" t="s">
        <v>7</v>
      </c>
      <c r="B63" s="13">
        <v>1</v>
      </c>
      <c r="C63" s="1" t="s">
        <v>13</v>
      </c>
      <c r="D63" s="14">
        <v>2078810</v>
      </c>
      <c r="E63" s="3">
        <v>1092719</v>
      </c>
      <c r="F63" s="3">
        <v>127558</v>
      </c>
      <c r="G63" s="3">
        <v>1497</v>
      </c>
      <c r="H63" s="2">
        <f t="shared" ref="H63:J68" si="42">E63/$D63</f>
        <v>0.52564640347121672</v>
      </c>
      <c r="I63" s="2">
        <f t="shared" si="42"/>
        <v>6.1361067148993899E-2</v>
      </c>
      <c r="J63" s="2">
        <f t="shared" si="42"/>
        <v>7.2012353221314121E-4</v>
      </c>
      <c r="K63">
        <v>35608</v>
      </c>
    </row>
    <row r="64" spans="1:11" x14ac:dyDescent="0.2">
      <c r="A64" s="4" t="s">
        <v>8</v>
      </c>
      <c r="B64" s="5">
        <v>2</v>
      </c>
      <c r="C64" s="1" t="s">
        <v>13</v>
      </c>
      <c r="D64" s="6">
        <v>1241292</v>
      </c>
      <c r="E64" s="3">
        <v>675218</v>
      </c>
      <c r="F64" s="3">
        <v>72499</v>
      </c>
      <c r="G64" s="3">
        <v>980</v>
      </c>
      <c r="H64" s="2">
        <f t="shared" si="42"/>
        <v>0.54396386990329426</v>
      </c>
      <c r="I64" s="2">
        <f t="shared" si="42"/>
        <v>5.8406080116523748E-2</v>
      </c>
      <c r="J64" s="2">
        <f t="shared" si="42"/>
        <v>7.8949997260918464E-4</v>
      </c>
      <c r="K64">
        <v>28661</v>
      </c>
    </row>
    <row r="65" spans="1:11" x14ac:dyDescent="0.2">
      <c r="A65" s="4" t="s">
        <v>9</v>
      </c>
      <c r="B65" s="5">
        <v>3</v>
      </c>
      <c r="C65" s="1" t="s">
        <v>13</v>
      </c>
      <c r="D65" s="6">
        <v>2874064</v>
      </c>
      <c r="E65" s="3">
        <v>1494412</v>
      </c>
      <c r="F65" s="3">
        <v>142244</v>
      </c>
      <c r="G65" s="3">
        <v>2326</v>
      </c>
      <c r="H65" s="2">
        <f t="shared" si="42"/>
        <v>0.51996476070122311</v>
      </c>
      <c r="I65" s="2">
        <f t="shared" si="42"/>
        <v>4.9492286880180821E-2</v>
      </c>
      <c r="J65" s="2">
        <f t="shared" si="42"/>
        <v>8.0930696045738721E-4</v>
      </c>
      <c r="K65">
        <v>35467</v>
      </c>
    </row>
    <row r="66" spans="1:11" x14ac:dyDescent="0.2">
      <c r="A66" s="4" t="s">
        <v>10</v>
      </c>
      <c r="B66" s="5">
        <v>1</v>
      </c>
      <c r="C66" s="1" t="s">
        <v>14</v>
      </c>
      <c r="D66" s="6">
        <v>1393116</v>
      </c>
      <c r="E66" s="6">
        <v>739859</v>
      </c>
      <c r="F66" s="6">
        <v>87512</v>
      </c>
      <c r="G66" s="6">
        <v>818</v>
      </c>
      <c r="H66" s="2">
        <f t="shared" si="42"/>
        <v>0.53108212094326679</v>
      </c>
      <c r="I66" s="2">
        <f t="shared" si="42"/>
        <v>6.2817453822940808E-2</v>
      </c>
      <c r="J66" s="2">
        <f t="shared" si="42"/>
        <v>5.8717292745184173E-4</v>
      </c>
      <c r="K66">
        <v>30318</v>
      </c>
    </row>
    <row r="67" spans="1:11" x14ac:dyDescent="0.2">
      <c r="A67" s="4" t="s">
        <v>11</v>
      </c>
      <c r="B67" s="5">
        <v>2</v>
      </c>
      <c r="C67" s="1" t="s">
        <v>14</v>
      </c>
      <c r="D67" s="6">
        <v>3385387</v>
      </c>
      <c r="E67" s="6">
        <v>1892687</v>
      </c>
      <c r="F67" s="6">
        <v>192839</v>
      </c>
      <c r="G67" s="6">
        <v>2217</v>
      </c>
      <c r="H67" s="2">
        <f t="shared" si="42"/>
        <v>0.5590755207602558</v>
      </c>
      <c r="I67" s="2">
        <f t="shared" si="42"/>
        <v>5.696217301005764E-2</v>
      </c>
      <c r="J67" s="2">
        <f t="shared" si="42"/>
        <v>6.5487343101394311E-4</v>
      </c>
      <c r="K67">
        <v>39861</v>
      </c>
    </row>
    <row r="68" spans="1:11" x14ac:dyDescent="0.2">
      <c r="A68" s="7" t="s">
        <v>12</v>
      </c>
      <c r="B68" s="8">
        <v>3</v>
      </c>
      <c r="C68" s="9" t="s">
        <v>14</v>
      </c>
      <c r="D68" s="10">
        <v>3217619</v>
      </c>
      <c r="E68" s="10">
        <v>1781106</v>
      </c>
      <c r="F68" s="10">
        <v>171687</v>
      </c>
      <c r="G68" s="10">
        <v>2270</v>
      </c>
      <c r="H68" s="11">
        <f t="shared" si="42"/>
        <v>0.55354782527079804</v>
      </c>
      <c r="I68" s="11">
        <f t="shared" si="42"/>
        <v>5.3358399487322766E-2</v>
      </c>
      <c r="J68" s="11">
        <f t="shared" si="42"/>
        <v>7.0549061277920099E-4</v>
      </c>
      <c r="K68" s="7">
        <v>38419</v>
      </c>
    </row>
    <row r="69" spans="1:11" x14ac:dyDescent="0.2">
      <c r="C69" t="s">
        <v>5</v>
      </c>
      <c r="D69" s="17">
        <f>AVERAGE(D63:D68)</f>
        <v>2365048</v>
      </c>
      <c r="E69" s="17">
        <f t="shared" ref="E69" si="43">AVERAGE(E63:E68)</f>
        <v>1279333.5</v>
      </c>
      <c r="F69" s="17">
        <f t="shared" ref="F69" si="44">AVERAGE(F63:F68)</f>
        <v>132389.83333333334</v>
      </c>
      <c r="G69" s="17">
        <f t="shared" ref="G69" si="45">AVERAGE(G63:G68)</f>
        <v>1684.6666666666667</v>
      </c>
      <c r="H69" s="2">
        <f t="shared" ref="H69" si="46">AVERAGE(H63:H68)</f>
        <v>0.53888008350834238</v>
      </c>
      <c r="I69" s="2">
        <f t="shared" ref="I69" si="47">AVERAGE(I63:I68)</f>
        <v>5.7066243411003283E-2</v>
      </c>
      <c r="J69" s="2">
        <f t="shared" ref="J69" si="48">AVERAGE(J63:J68)</f>
        <v>7.1107790608744982E-4</v>
      </c>
      <c r="K69" s="17">
        <f>AVERAGE(K63:K68)</f>
        <v>34722.333333333336</v>
      </c>
    </row>
    <row r="70" spans="1:11" x14ac:dyDescent="0.2">
      <c r="A70" s="7"/>
      <c r="B70" s="7"/>
      <c r="C70" s="7" t="s">
        <v>6</v>
      </c>
      <c r="D70" s="16">
        <f>STDEV(D63:D68)</f>
        <v>929137.00023430341</v>
      </c>
      <c r="E70" s="16">
        <f t="shared" ref="E70:J70" si="49">STDEV(E63:E68)</f>
        <v>522503.61988822621</v>
      </c>
      <c r="F70" s="16">
        <f t="shared" si="49"/>
        <v>46732.755353891407</v>
      </c>
      <c r="G70" s="16">
        <f t="shared" si="49"/>
        <v>681.20295556219253</v>
      </c>
      <c r="H70" s="11">
        <f t="shared" si="49"/>
        <v>1.5764334192755625E-2</v>
      </c>
      <c r="I70" s="11">
        <f t="shared" si="49"/>
        <v>4.9888044516048528E-3</v>
      </c>
      <c r="J70" s="11">
        <f t="shared" si="49"/>
        <v>8.2973966504499026E-5</v>
      </c>
      <c r="K70" s="16">
        <f>STDEV(K63:K68)</f>
        <v>4416.969262590198</v>
      </c>
    </row>
    <row r="73" spans="1:11" x14ac:dyDescent="0.2">
      <c r="A73" s="18" t="s">
        <v>26</v>
      </c>
    </row>
    <row r="74" spans="1:11" x14ac:dyDescent="0.2">
      <c r="A74" t="s">
        <v>0</v>
      </c>
      <c r="B74" t="s">
        <v>1</v>
      </c>
      <c r="C74" s="7" t="s">
        <v>2</v>
      </c>
      <c r="D74" t="s">
        <v>3</v>
      </c>
      <c r="E74" s="7" t="s">
        <v>18</v>
      </c>
      <c r="F74" s="7" t="s">
        <v>16</v>
      </c>
      <c r="G74" s="7" t="s">
        <v>17</v>
      </c>
      <c r="H74" s="15" t="s">
        <v>4</v>
      </c>
      <c r="I74" s="15" t="s">
        <v>19</v>
      </c>
      <c r="J74" s="15" t="s">
        <v>20</v>
      </c>
      <c r="K74" s="15" t="s">
        <v>29</v>
      </c>
    </row>
    <row r="75" spans="1:11" x14ac:dyDescent="0.2">
      <c r="A75" s="12" t="s">
        <v>7</v>
      </c>
      <c r="B75" s="13">
        <v>1</v>
      </c>
      <c r="C75" s="1" t="s">
        <v>13</v>
      </c>
      <c r="D75" s="14">
        <v>2078810</v>
      </c>
      <c r="E75" s="3">
        <v>1096260</v>
      </c>
      <c r="F75" s="3">
        <v>123961</v>
      </c>
      <c r="G75" s="3">
        <v>1553</v>
      </c>
      <c r="H75" s="2">
        <f t="shared" ref="H75:J80" si="50">E75/$D75</f>
        <v>0.52734978184634473</v>
      </c>
      <c r="I75" s="2">
        <f t="shared" si="50"/>
        <v>5.9630750285018831E-2</v>
      </c>
      <c r="J75" s="2">
        <f t="shared" si="50"/>
        <v>7.470620210601257E-4</v>
      </c>
      <c r="K75">
        <v>35684</v>
      </c>
    </row>
    <row r="76" spans="1:11" x14ac:dyDescent="0.2">
      <c r="A76" s="4" t="s">
        <v>8</v>
      </c>
      <c r="B76" s="5">
        <v>2</v>
      </c>
      <c r="C76" s="1" t="s">
        <v>13</v>
      </c>
      <c r="D76" s="6">
        <v>1241292</v>
      </c>
      <c r="E76" s="3">
        <v>676485</v>
      </c>
      <c r="F76" s="3">
        <v>71205</v>
      </c>
      <c r="G76" s="3">
        <v>1007</v>
      </c>
      <c r="H76" s="2">
        <f t="shared" si="50"/>
        <v>0.54498458058216759</v>
      </c>
      <c r="I76" s="2">
        <f t="shared" si="50"/>
        <v>5.7363617907792847E-2</v>
      </c>
      <c r="J76" s="2">
        <f t="shared" si="50"/>
        <v>8.1125150246678457E-4</v>
      </c>
      <c r="K76">
        <v>28723</v>
      </c>
    </row>
    <row r="77" spans="1:11" x14ac:dyDescent="0.2">
      <c r="A77" s="4" t="s">
        <v>9</v>
      </c>
      <c r="B77" s="5">
        <v>3</v>
      </c>
      <c r="C77" s="1" t="s">
        <v>13</v>
      </c>
      <c r="D77" s="6">
        <v>2874064</v>
      </c>
      <c r="E77" s="3">
        <v>1496860</v>
      </c>
      <c r="F77" s="3">
        <v>139715</v>
      </c>
      <c r="G77" s="3">
        <v>2407</v>
      </c>
      <c r="H77" s="2">
        <f t="shared" si="50"/>
        <v>0.52081651626407766</v>
      </c>
      <c r="I77" s="2">
        <f t="shared" si="50"/>
        <v>4.861234822884946E-2</v>
      </c>
      <c r="J77" s="2">
        <f t="shared" si="50"/>
        <v>8.3749004893419218E-4</v>
      </c>
      <c r="K77">
        <v>35554</v>
      </c>
    </row>
    <row r="78" spans="1:11" x14ac:dyDescent="0.2">
      <c r="A78" s="4" t="s">
        <v>10</v>
      </c>
      <c r="B78" s="5">
        <v>1</v>
      </c>
      <c r="C78" s="1" t="s">
        <v>14</v>
      </c>
      <c r="D78" s="6">
        <v>1393116</v>
      </c>
      <c r="E78" s="6">
        <v>740965</v>
      </c>
      <c r="F78" s="6">
        <v>86375</v>
      </c>
      <c r="G78" s="6">
        <v>849</v>
      </c>
      <c r="H78" s="2">
        <f t="shared" si="50"/>
        <v>0.53187602468136175</v>
      </c>
      <c r="I78" s="2">
        <f t="shared" si="50"/>
        <v>6.2001297810089034E-2</v>
      </c>
      <c r="J78" s="2">
        <f t="shared" si="50"/>
        <v>6.0942520220857413E-4</v>
      </c>
      <c r="K78">
        <v>30370</v>
      </c>
    </row>
    <row r="79" spans="1:11" x14ac:dyDescent="0.2">
      <c r="A79" s="4" t="s">
        <v>11</v>
      </c>
      <c r="B79" s="5">
        <v>2</v>
      </c>
      <c r="C79" s="1" t="s">
        <v>14</v>
      </c>
      <c r="D79" s="6">
        <v>3385387</v>
      </c>
      <c r="E79" s="6">
        <v>1895610</v>
      </c>
      <c r="F79" s="6">
        <v>189857</v>
      </c>
      <c r="G79" s="6">
        <v>2276</v>
      </c>
      <c r="H79" s="2">
        <f t="shared" si="50"/>
        <v>0.5599389375572128</v>
      </c>
      <c r="I79" s="2">
        <f t="shared" si="50"/>
        <v>5.6081328368071358E-2</v>
      </c>
      <c r="J79" s="2">
        <f t="shared" si="50"/>
        <v>6.7230127604318206E-4</v>
      </c>
      <c r="K79">
        <v>39947</v>
      </c>
    </row>
    <row r="80" spans="1:11" x14ac:dyDescent="0.2">
      <c r="A80" s="7" t="s">
        <v>12</v>
      </c>
      <c r="B80" s="8">
        <v>3</v>
      </c>
      <c r="C80" s="9" t="s">
        <v>14</v>
      </c>
      <c r="D80" s="10">
        <v>3217619</v>
      </c>
      <c r="E80" s="10">
        <v>1783863</v>
      </c>
      <c r="F80" s="10">
        <v>168811</v>
      </c>
      <c r="G80" s="10">
        <v>2389</v>
      </c>
      <c r="H80" s="11">
        <f t="shared" si="50"/>
        <v>0.55440467003706784</v>
      </c>
      <c r="I80" s="11">
        <f t="shared" si="50"/>
        <v>5.2464570851924977E-2</v>
      </c>
      <c r="J80" s="11">
        <f t="shared" si="50"/>
        <v>7.4247448190727366E-4</v>
      </c>
      <c r="K80" s="7">
        <v>38487</v>
      </c>
    </row>
    <row r="81" spans="1:11" x14ac:dyDescent="0.2">
      <c r="C81" t="s">
        <v>5</v>
      </c>
      <c r="D81" s="17">
        <f>AVERAGE(D75:D80)</f>
        <v>2365048</v>
      </c>
      <c r="E81" s="17">
        <f t="shared" ref="E81" si="51">AVERAGE(E75:E80)</f>
        <v>1281673.8333333333</v>
      </c>
      <c r="F81" s="17">
        <f t="shared" ref="F81" si="52">AVERAGE(F75:F80)</f>
        <v>129987.33333333333</v>
      </c>
      <c r="G81" s="17">
        <f t="shared" ref="G81" si="53">AVERAGE(G75:G80)</f>
        <v>1746.8333333333333</v>
      </c>
      <c r="H81" s="2">
        <f t="shared" ref="H81" si="54">AVERAGE(H75:H80)</f>
        <v>0.53989508516137208</v>
      </c>
      <c r="I81" s="2">
        <f t="shared" ref="I81" si="55">AVERAGE(I75:I80)</f>
        <v>5.6025652241957748E-2</v>
      </c>
      <c r="J81" s="2">
        <f t="shared" ref="J81" si="56">AVERAGE(J75:J80)</f>
        <v>7.3666742210335529E-4</v>
      </c>
      <c r="K81" s="17">
        <f>AVERAGE(K75:K80)</f>
        <v>34794.166666666664</v>
      </c>
    </row>
    <row r="82" spans="1:11" x14ac:dyDescent="0.2">
      <c r="A82" s="7"/>
      <c r="B82" s="7"/>
      <c r="C82" s="7" t="s">
        <v>6</v>
      </c>
      <c r="D82" s="16">
        <f>STDEV(D75:D80)</f>
        <v>929137.00023430341</v>
      </c>
      <c r="E82" s="16">
        <f t="shared" ref="E82:J82" si="57">STDEV(E75:E80)</f>
        <v>523147.11472220393</v>
      </c>
      <c r="F82" s="16">
        <f t="shared" si="57"/>
        <v>45999.992615941424</v>
      </c>
      <c r="G82" s="16">
        <f t="shared" si="57"/>
        <v>709.82319394808906</v>
      </c>
      <c r="H82" s="11">
        <f t="shared" si="57"/>
        <v>1.5645247158076327E-2</v>
      </c>
      <c r="I82" s="11">
        <f t="shared" si="57"/>
        <v>4.8607962489120591E-3</v>
      </c>
      <c r="J82" s="11">
        <f t="shared" si="57"/>
        <v>8.5092114838166338E-5</v>
      </c>
      <c r="K82" s="16">
        <f>STDEV(K75:K80)</f>
        <v>4426.966790779732</v>
      </c>
    </row>
    <row r="85" spans="1:11" x14ac:dyDescent="0.2">
      <c r="A85" s="18" t="s">
        <v>27</v>
      </c>
    </row>
    <row r="86" spans="1:11" x14ac:dyDescent="0.2">
      <c r="A86" t="s">
        <v>0</v>
      </c>
      <c r="B86" t="s">
        <v>1</v>
      </c>
      <c r="C86" s="7" t="s">
        <v>2</v>
      </c>
      <c r="D86" t="s">
        <v>3</v>
      </c>
      <c r="E86" s="7" t="s">
        <v>18</v>
      </c>
      <c r="F86" s="7" t="s">
        <v>16</v>
      </c>
      <c r="G86" s="7" t="s">
        <v>17</v>
      </c>
      <c r="H86" s="15" t="s">
        <v>4</v>
      </c>
      <c r="I86" s="15" t="s">
        <v>19</v>
      </c>
      <c r="J86" s="15" t="s">
        <v>20</v>
      </c>
      <c r="K86" s="15" t="s">
        <v>29</v>
      </c>
    </row>
    <row r="87" spans="1:11" x14ac:dyDescent="0.2">
      <c r="A87" s="12" t="s">
        <v>7</v>
      </c>
      <c r="B87" s="13">
        <v>1</v>
      </c>
      <c r="C87" s="1" t="s">
        <v>13</v>
      </c>
      <c r="D87" s="14">
        <v>2078810</v>
      </c>
      <c r="E87" s="3">
        <v>1097701</v>
      </c>
      <c r="F87" s="3">
        <v>122498</v>
      </c>
      <c r="G87" s="3">
        <v>1575</v>
      </c>
      <c r="H87" s="2">
        <f t="shared" ref="H87:J92" si="58">E87/$D87</f>
        <v>0.52804296688971097</v>
      </c>
      <c r="I87" s="2">
        <f t="shared" si="58"/>
        <v>5.8926982263891363E-2</v>
      </c>
      <c r="J87" s="2">
        <f t="shared" si="58"/>
        <v>7.5764499882144116E-4</v>
      </c>
      <c r="K87">
        <v>35770</v>
      </c>
    </row>
    <row r="88" spans="1:11" x14ac:dyDescent="0.2">
      <c r="A88" s="4" t="s">
        <v>8</v>
      </c>
      <c r="B88" s="5">
        <v>2</v>
      </c>
      <c r="C88" s="1" t="s">
        <v>13</v>
      </c>
      <c r="D88" s="6">
        <v>1241292</v>
      </c>
      <c r="E88" s="3">
        <v>677412</v>
      </c>
      <c r="F88" s="3">
        <v>70242</v>
      </c>
      <c r="G88" s="3">
        <v>1043</v>
      </c>
      <c r="H88" s="2">
        <f t="shared" si="58"/>
        <v>0.54573138310727853</v>
      </c>
      <c r="I88" s="2">
        <f t="shared" si="58"/>
        <v>5.658781334287178E-2</v>
      </c>
      <c r="J88" s="2">
        <f t="shared" si="58"/>
        <v>8.4025354227691793E-4</v>
      </c>
      <c r="K88">
        <v>28780</v>
      </c>
    </row>
    <row r="89" spans="1:11" x14ac:dyDescent="0.2">
      <c r="A89" s="4" t="s">
        <v>9</v>
      </c>
      <c r="B89" s="5">
        <v>3</v>
      </c>
      <c r="C89" s="1" t="s">
        <v>13</v>
      </c>
      <c r="D89" s="6">
        <v>2874064</v>
      </c>
      <c r="E89" s="3">
        <v>1498590</v>
      </c>
      <c r="F89" s="3">
        <v>137951</v>
      </c>
      <c r="G89" s="3">
        <v>2441</v>
      </c>
      <c r="H89" s="2">
        <f t="shared" si="58"/>
        <v>0.52141845136364395</v>
      </c>
      <c r="I89" s="2">
        <f t="shared" si="58"/>
        <v>4.7998583190910153E-2</v>
      </c>
      <c r="J89" s="2">
        <f t="shared" si="58"/>
        <v>8.4931998730717196E-4</v>
      </c>
      <c r="K89">
        <v>35622</v>
      </c>
    </row>
    <row r="90" spans="1:11" x14ac:dyDescent="0.2">
      <c r="A90" s="4" t="s">
        <v>10</v>
      </c>
      <c r="B90" s="5">
        <v>1</v>
      </c>
      <c r="C90" s="1" t="s">
        <v>14</v>
      </c>
      <c r="D90" s="6">
        <v>1393116</v>
      </c>
      <c r="E90" s="6">
        <v>742046</v>
      </c>
      <c r="F90" s="6">
        <v>85265</v>
      </c>
      <c r="G90" s="6">
        <v>878</v>
      </c>
      <c r="H90" s="2">
        <f t="shared" si="58"/>
        <v>0.53265198303658845</v>
      </c>
      <c r="I90" s="2">
        <f t="shared" si="58"/>
        <v>6.1204522810735074E-2</v>
      </c>
      <c r="J90" s="2">
        <f t="shared" si="58"/>
        <v>6.3024184633583998E-4</v>
      </c>
      <c r="K90">
        <v>30436</v>
      </c>
    </row>
    <row r="91" spans="1:11" x14ac:dyDescent="0.2">
      <c r="A91" s="4" t="s">
        <v>11</v>
      </c>
      <c r="B91" s="5">
        <v>2</v>
      </c>
      <c r="C91" s="1" t="s">
        <v>14</v>
      </c>
      <c r="D91" s="6">
        <v>3385387</v>
      </c>
      <c r="E91" s="6">
        <v>1897927</v>
      </c>
      <c r="F91" s="6">
        <v>187510</v>
      </c>
      <c r="G91" s="6">
        <v>2306</v>
      </c>
      <c r="H91" s="2">
        <f t="shared" si="58"/>
        <v>0.56062334970861527</v>
      </c>
      <c r="I91" s="2">
        <f t="shared" si="58"/>
        <v>5.5388054600552315E-2</v>
      </c>
      <c r="J91" s="2">
        <f t="shared" si="58"/>
        <v>6.8116289215974422E-4</v>
      </c>
      <c r="K91">
        <v>40029</v>
      </c>
    </row>
    <row r="92" spans="1:11" x14ac:dyDescent="0.2">
      <c r="A92" s="7" t="s">
        <v>12</v>
      </c>
      <c r="B92" s="8">
        <v>3</v>
      </c>
      <c r="C92" s="9" t="s">
        <v>14</v>
      </c>
      <c r="D92" s="10">
        <v>3217619</v>
      </c>
      <c r="E92" s="10">
        <v>1786010</v>
      </c>
      <c r="F92" s="10">
        <v>166594</v>
      </c>
      <c r="G92" s="10">
        <v>2459</v>
      </c>
      <c r="H92" s="11">
        <f t="shared" si="58"/>
        <v>0.55507193362545415</v>
      </c>
      <c r="I92" s="11">
        <f t="shared" si="58"/>
        <v>5.1775552046404501E-2</v>
      </c>
      <c r="J92" s="11">
        <f t="shared" si="58"/>
        <v>7.6422969904143406E-4</v>
      </c>
      <c r="K92" s="7">
        <v>38576</v>
      </c>
    </row>
    <row r="93" spans="1:11" x14ac:dyDescent="0.2">
      <c r="C93" t="s">
        <v>5</v>
      </c>
      <c r="D93" s="17">
        <f>AVERAGE(D87:D92)</f>
        <v>2365048</v>
      </c>
      <c r="E93" s="17">
        <f t="shared" ref="E93" si="59">AVERAGE(E87:E92)</f>
        <v>1283281</v>
      </c>
      <c r="F93" s="17">
        <f t="shared" ref="F93" si="60">AVERAGE(F87:F92)</f>
        <v>128343.33333333333</v>
      </c>
      <c r="G93" s="17">
        <f t="shared" ref="G93" si="61">AVERAGE(G87:G92)</f>
        <v>1783.6666666666667</v>
      </c>
      <c r="H93" s="2">
        <f t="shared" ref="H93" si="62">AVERAGE(H87:H92)</f>
        <v>0.54059001128854856</v>
      </c>
      <c r="I93" s="2">
        <f t="shared" ref="I93" si="63">AVERAGE(I87:I92)</f>
        <v>5.531358470922753E-2</v>
      </c>
      <c r="J93" s="2">
        <f t="shared" ref="J93" si="64">AVERAGE(J87:J92)</f>
        <v>7.5380882765709164E-4</v>
      </c>
      <c r="K93" s="17">
        <f>AVERAGE(K87:K92)</f>
        <v>34868.833333333336</v>
      </c>
    </row>
    <row r="94" spans="1:11" x14ac:dyDescent="0.2">
      <c r="A94" s="7"/>
      <c r="B94" s="7"/>
      <c r="C94" s="7" t="s">
        <v>6</v>
      </c>
      <c r="D94" s="16">
        <f>STDEV(D87:D92)</f>
        <v>929137.00023430341</v>
      </c>
      <c r="E94" s="16">
        <f t="shared" ref="E94:J94" si="65">STDEV(E87:E92)</f>
        <v>523705.37996549165</v>
      </c>
      <c r="F94" s="16">
        <f t="shared" si="65"/>
        <v>45435.208513515878</v>
      </c>
      <c r="G94" s="16">
        <f t="shared" si="65"/>
        <v>717.40578940141427</v>
      </c>
      <c r="H94" s="11">
        <f t="shared" si="65"/>
        <v>1.5655566119646032E-2</v>
      </c>
      <c r="I94" s="11">
        <f t="shared" si="65"/>
        <v>4.8044962340612748E-3</v>
      </c>
      <c r="J94" s="11">
        <f t="shared" si="65"/>
        <v>8.6330309729722225E-5</v>
      </c>
      <c r="K94" s="16">
        <f>STDEV(K87:K92)</f>
        <v>4437.8749156174517</v>
      </c>
    </row>
    <row r="97" spans="1:11" x14ac:dyDescent="0.2">
      <c r="A97" s="18" t="s">
        <v>28</v>
      </c>
    </row>
    <row r="98" spans="1:11" x14ac:dyDescent="0.2">
      <c r="A98" t="s">
        <v>0</v>
      </c>
      <c r="B98" t="s">
        <v>1</v>
      </c>
      <c r="C98" s="7" t="s">
        <v>2</v>
      </c>
      <c r="D98" t="s">
        <v>3</v>
      </c>
      <c r="E98" s="7" t="s">
        <v>18</v>
      </c>
      <c r="F98" s="7" t="s">
        <v>16</v>
      </c>
      <c r="G98" s="7" t="s">
        <v>17</v>
      </c>
      <c r="H98" s="15" t="s">
        <v>4</v>
      </c>
      <c r="I98" s="15" t="s">
        <v>19</v>
      </c>
      <c r="J98" s="15" t="s">
        <v>20</v>
      </c>
      <c r="K98" s="15" t="s">
        <v>29</v>
      </c>
    </row>
    <row r="99" spans="1:11" x14ac:dyDescent="0.2">
      <c r="A99" s="12" t="s">
        <v>7</v>
      </c>
      <c r="B99" s="13">
        <v>1</v>
      </c>
      <c r="C99" s="1" t="s">
        <v>13</v>
      </c>
      <c r="D99" s="14">
        <v>2078810</v>
      </c>
      <c r="E99" s="3">
        <v>1099496</v>
      </c>
      <c r="F99" s="3">
        <v>120669</v>
      </c>
      <c r="G99" s="3">
        <v>1609</v>
      </c>
      <c r="H99" s="2">
        <f t="shared" ref="H99:J104" si="66">E99/$D99</f>
        <v>0.52890644166614553</v>
      </c>
      <c r="I99" s="2">
        <f t="shared" si="66"/>
        <v>5.80471519763711E-2</v>
      </c>
      <c r="J99" s="2">
        <f t="shared" si="66"/>
        <v>7.740005099071103E-4</v>
      </c>
      <c r="K99">
        <v>35847</v>
      </c>
    </row>
    <row r="100" spans="1:11" x14ac:dyDescent="0.2">
      <c r="A100" s="4" t="s">
        <v>8</v>
      </c>
      <c r="B100" s="5">
        <v>2</v>
      </c>
      <c r="C100" s="1" t="s">
        <v>13</v>
      </c>
      <c r="D100" s="6">
        <v>1241292</v>
      </c>
      <c r="E100" s="3">
        <v>678363</v>
      </c>
      <c r="F100" s="3">
        <v>69272</v>
      </c>
      <c r="G100" s="3">
        <v>1062</v>
      </c>
      <c r="H100" s="2">
        <f t="shared" si="66"/>
        <v>0.54649752032559629</v>
      </c>
      <c r="I100" s="2">
        <f t="shared" si="66"/>
        <v>5.5806369492432076E-2</v>
      </c>
      <c r="J100" s="2">
        <f t="shared" si="66"/>
        <v>8.5556017439893269E-4</v>
      </c>
      <c r="K100">
        <v>28823</v>
      </c>
    </row>
    <row r="101" spans="1:11" x14ac:dyDescent="0.2">
      <c r="A101" s="4" t="s">
        <v>9</v>
      </c>
      <c r="B101" s="5">
        <v>3</v>
      </c>
      <c r="C101" s="1" t="s">
        <v>13</v>
      </c>
      <c r="D101" s="6">
        <v>2874064</v>
      </c>
      <c r="E101" s="3">
        <v>1500563</v>
      </c>
      <c r="F101" s="3">
        <v>135884</v>
      </c>
      <c r="G101" s="3">
        <v>2535</v>
      </c>
      <c r="H101" s="2">
        <f t="shared" si="66"/>
        <v>0.5221049357286407</v>
      </c>
      <c r="I101" s="2">
        <f t="shared" si="66"/>
        <v>4.727939252570576E-2</v>
      </c>
      <c r="J101" s="2">
        <f t="shared" si="66"/>
        <v>8.8202628751482223E-4</v>
      </c>
      <c r="K101">
        <v>35692</v>
      </c>
    </row>
    <row r="102" spans="1:11" x14ac:dyDescent="0.2">
      <c r="A102" s="4" t="s">
        <v>10</v>
      </c>
      <c r="B102" s="5">
        <v>1</v>
      </c>
      <c r="C102" s="1" t="s">
        <v>14</v>
      </c>
      <c r="D102" s="6">
        <v>1393116</v>
      </c>
      <c r="E102" s="6">
        <v>743044</v>
      </c>
      <c r="F102" s="6">
        <v>84243</v>
      </c>
      <c r="G102" s="6">
        <v>902</v>
      </c>
      <c r="H102" s="2">
        <f t="shared" si="66"/>
        <v>0.53336836272069232</v>
      </c>
      <c r="I102" s="2">
        <f t="shared" si="66"/>
        <v>6.0470915559077638E-2</v>
      </c>
      <c r="J102" s="2">
        <f t="shared" si="66"/>
        <v>6.4746941388943923E-4</v>
      </c>
      <c r="K102">
        <v>30482</v>
      </c>
    </row>
    <row r="103" spans="1:11" x14ac:dyDescent="0.2">
      <c r="A103" s="4" t="s">
        <v>11</v>
      </c>
      <c r="B103" s="5">
        <v>2</v>
      </c>
      <c r="C103" s="1" t="s">
        <v>14</v>
      </c>
      <c r="D103" s="6">
        <v>3385387</v>
      </c>
      <c r="E103" s="6">
        <v>1900242</v>
      </c>
      <c r="F103" s="6">
        <v>185084</v>
      </c>
      <c r="G103" s="6">
        <v>2417</v>
      </c>
      <c r="H103" s="2">
        <f t="shared" si="66"/>
        <v>0.56130717108561001</v>
      </c>
      <c r="I103" s="2">
        <f t="shared" si="66"/>
        <v>5.4671445243926323E-2</v>
      </c>
      <c r="J103" s="2">
        <f t="shared" si="66"/>
        <v>7.1395087179102422E-4</v>
      </c>
      <c r="K103">
        <v>40094</v>
      </c>
    </row>
    <row r="104" spans="1:11" x14ac:dyDescent="0.2">
      <c r="A104" s="7" t="s">
        <v>12</v>
      </c>
      <c r="B104" s="8">
        <v>3</v>
      </c>
      <c r="C104" s="9" t="s">
        <v>14</v>
      </c>
      <c r="D104" s="10">
        <v>3217619</v>
      </c>
      <c r="E104" s="10">
        <v>1788275</v>
      </c>
      <c r="F104" s="10">
        <v>164210</v>
      </c>
      <c r="G104" s="10">
        <v>2578</v>
      </c>
      <c r="H104" s="11">
        <f t="shared" si="66"/>
        <v>0.55577587029415232</v>
      </c>
      <c r="I104" s="11">
        <f t="shared" si="66"/>
        <v>5.1034631508578239E-2</v>
      </c>
      <c r="J104" s="11">
        <f t="shared" si="66"/>
        <v>8.0121356816950672E-4</v>
      </c>
      <c r="K104" s="7">
        <v>38641</v>
      </c>
    </row>
    <row r="105" spans="1:11" x14ac:dyDescent="0.2">
      <c r="C105" t="s">
        <v>5</v>
      </c>
      <c r="D105" s="17">
        <f>AVERAGE(D99:D104)</f>
        <v>2365048</v>
      </c>
      <c r="E105" s="17">
        <f t="shared" ref="E105" si="67">AVERAGE(E99:E104)</f>
        <v>1284997.1666666667</v>
      </c>
      <c r="F105" s="17">
        <f t="shared" ref="F105" si="68">AVERAGE(F99:F104)</f>
        <v>126560.33333333333</v>
      </c>
      <c r="G105" s="17">
        <f t="shared" ref="G105" si="69">AVERAGE(G99:G104)</f>
        <v>1850.5</v>
      </c>
      <c r="H105" s="2">
        <f t="shared" ref="H105" si="70">AVERAGE(H99:H104)</f>
        <v>0.54132671697013957</v>
      </c>
      <c r="I105" s="2">
        <f t="shared" ref="I105" si="71">AVERAGE(I99:I104)</f>
        <v>5.4551651051015192E-2</v>
      </c>
      <c r="J105" s="2">
        <f t="shared" ref="J105" si="72">AVERAGE(J99:J104)</f>
        <v>7.7903680427847258E-4</v>
      </c>
      <c r="K105" s="17">
        <f>AVERAGE(K99:K104)</f>
        <v>34929.833333333336</v>
      </c>
    </row>
    <row r="106" spans="1:11" x14ac:dyDescent="0.2">
      <c r="A106" s="7"/>
      <c r="B106" s="7"/>
      <c r="C106" s="7" t="s">
        <v>6</v>
      </c>
      <c r="D106" s="16">
        <f>STDEV(D99:D104)</f>
        <v>929137.00023430341</v>
      </c>
      <c r="E106" s="16">
        <f t="shared" ref="E106:J106" si="73">STDEV(E99:E104)</f>
        <v>524292.34990238678</v>
      </c>
      <c r="F106" s="16">
        <f t="shared" si="73"/>
        <v>44803.717179121035</v>
      </c>
      <c r="G106" s="16">
        <f t="shared" si="73"/>
        <v>761.37054053857378</v>
      </c>
      <c r="H106" s="11">
        <f t="shared" si="73"/>
        <v>1.5632077922431094E-2</v>
      </c>
      <c r="I106" s="11">
        <f t="shared" si="73"/>
        <v>4.7770295911220345E-3</v>
      </c>
      <c r="J106" s="11">
        <f t="shared" si="73"/>
        <v>8.7779256970081445E-5</v>
      </c>
      <c r="K106" s="16">
        <f>STDEV(K99:K104)</f>
        <v>4448.3727998748718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jsun</dc:creator>
  <cp:lastModifiedBy>jsun</cp:lastModifiedBy>
  <dcterms:created xsi:type="dcterms:W3CDTF">2020-05-16T00:01:00Z</dcterms:created>
  <dcterms:modified xsi:type="dcterms:W3CDTF">2020-05-17T23:07:55Z</dcterms:modified>
</cp:coreProperties>
</file>