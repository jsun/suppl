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projects/HuoberBrezel/files/"/>
    </mc:Choice>
  </mc:AlternateContent>
  <xr:revisionPtr revIDLastSave="0" documentId="13_ncr:1_{0A94D2B1-95BF-9742-99B3-091329B2C82B}" xr6:coauthVersionLast="46" xr6:coauthVersionMax="46" xr10:uidLastSave="{00000000-0000-0000-0000-000000000000}"/>
  <bookViews>
    <workbookView xWindow="0" yWindow="500" windowWidth="25440" windowHeight="9960" activeTab="1" xr2:uid="{0A1B866E-BAB2-5B48-9BA1-056163FF4A88}"/>
  </bookViews>
  <sheets>
    <sheet name="Trimmomatic" sheetId="6" r:id="rId1"/>
    <sheet name="HISAT2" sheetId="5" r:id="rId2"/>
    <sheet name="STAR" sheetId="7" r:id="rId3"/>
    <sheet name="EAGLE-RC" sheetId="4" r:id="rId4"/>
    <sheet name="Sheet2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7" l="1"/>
  <c r="H6" i="7"/>
  <c r="H5" i="7"/>
  <c r="H4" i="7"/>
  <c r="H3" i="7"/>
  <c r="H2" i="7"/>
  <c r="H20" i="5"/>
  <c r="H25" i="5"/>
  <c r="H24" i="5"/>
  <c r="H23" i="5"/>
  <c r="H22" i="5"/>
  <c r="H21" i="5"/>
  <c r="H7" i="5"/>
  <c r="H4" i="5"/>
  <c r="H5" i="5"/>
  <c r="H6" i="5"/>
  <c r="H3" i="5"/>
  <c r="H2" i="5"/>
  <c r="Q8" i="8"/>
  <c r="Q7" i="8"/>
  <c r="Q6" i="8"/>
  <c r="Q5" i="8"/>
  <c r="Q4" i="8"/>
  <c r="Q3" i="8"/>
  <c r="N8" i="8"/>
  <c r="N7" i="8"/>
  <c r="N6" i="8"/>
  <c r="N5" i="8"/>
  <c r="N4" i="8"/>
  <c r="N3" i="8"/>
  <c r="K8" i="8"/>
  <c r="K7" i="8"/>
  <c r="K6" i="8"/>
  <c r="K5" i="8"/>
  <c r="K4" i="8"/>
  <c r="K3" i="8"/>
  <c r="H4" i="8"/>
  <c r="H5" i="8"/>
  <c r="H6" i="8"/>
  <c r="H7" i="8"/>
  <c r="H8" i="8"/>
  <c r="H3" i="8"/>
  <c r="P9" i="7"/>
  <c r="P8" i="7"/>
  <c r="R7" i="7"/>
  <c r="Q7" i="7"/>
  <c r="O7" i="7"/>
  <c r="N7" i="7"/>
  <c r="M7" i="7"/>
  <c r="L7" i="7"/>
  <c r="R6" i="7"/>
  <c r="Q6" i="7"/>
  <c r="O6" i="7"/>
  <c r="N6" i="7"/>
  <c r="M6" i="7"/>
  <c r="L6" i="7"/>
  <c r="R5" i="7"/>
  <c r="Q5" i="7"/>
  <c r="O5" i="7"/>
  <c r="N5" i="7"/>
  <c r="M5" i="7"/>
  <c r="L5" i="7"/>
  <c r="R4" i="7"/>
  <c r="Q4" i="7"/>
  <c r="O4" i="7"/>
  <c r="N4" i="7"/>
  <c r="M4" i="7"/>
  <c r="L4" i="7"/>
  <c r="R3" i="7"/>
  <c r="Q3" i="7"/>
  <c r="O3" i="7"/>
  <c r="N3" i="7"/>
  <c r="M3" i="7"/>
  <c r="L3" i="7"/>
  <c r="R2" i="7"/>
  <c r="Q2" i="7"/>
  <c r="O2" i="7"/>
  <c r="N2" i="7"/>
  <c r="M2" i="7"/>
  <c r="L2" i="7"/>
  <c r="O8" i="7" l="1"/>
  <c r="Q8" i="7"/>
  <c r="M8" i="7"/>
  <c r="R9" i="7"/>
  <c r="N9" i="7"/>
  <c r="N8" i="7"/>
  <c r="R8" i="7"/>
  <c r="O9" i="7"/>
  <c r="M9" i="7"/>
  <c r="Q9" i="7"/>
  <c r="L21" i="5"/>
  <c r="T9" i="4" l="1"/>
  <c r="T8" i="4"/>
  <c r="T3" i="4"/>
  <c r="T4" i="4"/>
  <c r="T5" i="4"/>
  <c r="T6" i="4"/>
  <c r="T7" i="4"/>
  <c r="T2" i="4"/>
  <c r="R3" i="5"/>
  <c r="R4" i="5"/>
  <c r="R5" i="5"/>
  <c r="R6" i="5"/>
  <c r="R7" i="5"/>
  <c r="R2" i="5"/>
  <c r="R9" i="5" l="1"/>
  <c r="R8" i="5"/>
  <c r="P27" i="5"/>
  <c r="P26" i="5"/>
  <c r="Q25" i="5"/>
  <c r="O25" i="5"/>
  <c r="N25" i="5"/>
  <c r="M25" i="5"/>
  <c r="L25" i="5"/>
  <c r="Q24" i="5"/>
  <c r="O24" i="5"/>
  <c r="N24" i="5"/>
  <c r="M24" i="5"/>
  <c r="L24" i="5"/>
  <c r="Q23" i="5"/>
  <c r="O23" i="5"/>
  <c r="N23" i="5"/>
  <c r="M23" i="5"/>
  <c r="L23" i="5"/>
  <c r="Q22" i="5"/>
  <c r="O22" i="5"/>
  <c r="N22" i="5"/>
  <c r="M22" i="5"/>
  <c r="L22" i="5"/>
  <c r="Q21" i="5"/>
  <c r="O21" i="5"/>
  <c r="N21" i="5"/>
  <c r="M21" i="5"/>
  <c r="Q20" i="5"/>
  <c r="O20" i="5"/>
  <c r="N20" i="5"/>
  <c r="M20" i="5"/>
  <c r="M27" i="5" s="1"/>
  <c r="L20" i="5"/>
  <c r="N26" i="5" l="1"/>
  <c r="O26" i="5"/>
  <c r="Q27" i="5"/>
  <c r="Q26" i="5"/>
  <c r="M26" i="5"/>
  <c r="H26" i="5"/>
  <c r="H27" i="5"/>
  <c r="N27" i="5"/>
  <c r="O27" i="5"/>
  <c r="R8" i="4" l="1"/>
  <c r="S8" i="4"/>
  <c r="R9" i="4"/>
  <c r="S9" i="4"/>
  <c r="Q9" i="4"/>
  <c r="Q8" i="4"/>
  <c r="Q3" i="4"/>
  <c r="R3" i="4"/>
  <c r="S3" i="4"/>
  <c r="Q4" i="4"/>
  <c r="R4" i="4"/>
  <c r="S4" i="4"/>
  <c r="Q5" i="4"/>
  <c r="R5" i="4"/>
  <c r="S5" i="4"/>
  <c r="Q6" i="4"/>
  <c r="R6" i="4"/>
  <c r="S6" i="4"/>
  <c r="Q7" i="4"/>
  <c r="R7" i="4"/>
  <c r="S7" i="4"/>
  <c r="S2" i="4"/>
  <c r="R2" i="4"/>
  <c r="Q2" i="4"/>
  <c r="M3" i="4"/>
  <c r="M4" i="4"/>
  <c r="M5" i="4"/>
  <c r="M6" i="4"/>
  <c r="M7" i="4"/>
  <c r="M2" i="4"/>
  <c r="J3" i="4"/>
  <c r="J4" i="4"/>
  <c r="J5" i="4"/>
  <c r="J6" i="4"/>
  <c r="J7" i="4"/>
  <c r="J2" i="4"/>
  <c r="G3" i="4"/>
  <c r="G4" i="4"/>
  <c r="G5" i="4"/>
  <c r="G6" i="4"/>
  <c r="G7" i="4"/>
  <c r="G2" i="4"/>
  <c r="H16" i="4" l="1"/>
  <c r="I16" i="4" s="1"/>
  <c r="I15" i="4"/>
  <c r="I17" i="4"/>
  <c r="I14" i="4"/>
  <c r="H15" i="4"/>
  <c r="H14" i="4"/>
  <c r="H17" i="4"/>
  <c r="H18" i="4"/>
  <c r="I18" i="4" s="1"/>
  <c r="H19" i="4"/>
  <c r="I19" i="4" s="1"/>
  <c r="I21" i="4" l="1"/>
  <c r="I20" i="4"/>
  <c r="Q3" i="5"/>
  <c r="Q4" i="5"/>
  <c r="Q5" i="5"/>
  <c r="Q6" i="5"/>
  <c r="Q9" i="5" s="1"/>
  <c r="Q7" i="5"/>
  <c r="Q2" i="5"/>
  <c r="L5" i="5"/>
  <c r="L4" i="5"/>
  <c r="M2" i="5"/>
  <c r="E9" i="6"/>
  <c r="D9" i="6"/>
  <c r="E8" i="6"/>
  <c r="D8" i="6"/>
  <c r="F7" i="6"/>
  <c r="F6" i="6"/>
  <c r="F5" i="6"/>
  <c r="F4" i="6"/>
  <c r="F3" i="6"/>
  <c r="F2" i="6"/>
  <c r="F9" i="6" s="1"/>
  <c r="Q8" i="5" l="1"/>
  <c r="F8" i="6"/>
  <c r="P9" i="5"/>
  <c r="P8" i="5"/>
  <c r="O7" i="5"/>
  <c r="N7" i="5"/>
  <c r="M7" i="5"/>
  <c r="L7" i="5"/>
  <c r="O6" i="5"/>
  <c r="N6" i="5"/>
  <c r="M6" i="5"/>
  <c r="L6" i="5"/>
  <c r="O5" i="5"/>
  <c r="N5" i="5"/>
  <c r="M5" i="5"/>
  <c r="O4" i="5"/>
  <c r="N4" i="5"/>
  <c r="M4" i="5"/>
  <c r="O3" i="5"/>
  <c r="N3" i="5"/>
  <c r="M3" i="5"/>
  <c r="L3" i="5"/>
  <c r="O2" i="5"/>
  <c r="N2" i="5"/>
  <c r="L2" i="5"/>
  <c r="M9" i="5" l="1"/>
  <c r="N8" i="5"/>
  <c r="O8" i="5"/>
  <c r="M8" i="5"/>
  <c r="H9" i="5"/>
  <c r="N9" i="5"/>
  <c r="H8" i="5"/>
  <c r="O9" i="5"/>
</calcChain>
</file>

<file path=xl/sharedStrings.xml><?xml version="1.0" encoding="utf-8"?>
<sst xmlns="http://schemas.openxmlformats.org/spreadsheetml/2006/main" count="214" uniqueCount="68">
  <si>
    <t>library name</t>
  </si>
  <si>
    <t>replicate</t>
  </si>
  <si>
    <t>sampling date</t>
  </si>
  <si>
    <t>input</t>
  </si>
  <si>
    <t>uniquely mapped on A</t>
  </si>
  <si>
    <t>uniquely mapped on B</t>
  </si>
  <si>
    <t>uniquely mapped on D</t>
  </si>
  <si>
    <t>E/D</t>
  </si>
  <si>
    <t>average</t>
  </si>
  <si>
    <t>s.d</t>
  </si>
  <si>
    <t>uniquely mapped on ChrUn</t>
  </si>
  <si>
    <t>treatment</t>
  </si>
  <si>
    <t>control</t>
  </si>
  <si>
    <t>cold</t>
  </si>
  <si>
    <t>#read pairs in FASTQ</t>
  </si>
  <si>
    <t>#read pairs after QC</t>
  </si>
  <si>
    <t>20181221.A-ZH_W2017_1_CS_2</t>
  </si>
  <si>
    <t>20181221.A-ZH_W2017_1_CS_3</t>
  </si>
  <si>
    <t>20181221.A-ZH_W2017_1_CS_4</t>
  </si>
  <si>
    <t>20181221.A-ZH_W2017_1_CS_cold_2</t>
  </si>
  <si>
    <t>20181221.A-ZH_W2017_1_CS_cold_3</t>
  </si>
  <si>
    <t>20181221.A-ZH_W2017_1_CS_cold_4</t>
  </si>
  <si>
    <t>unmapped (concordantly 0 times)</t>
  </si>
  <si>
    <t>uniquely mapped (concordantly exactly 1 time)</t>
  </si>
  <si>
    <t>multi-mapped</t>
  </si>
  <si>
    <t>time [min]</t>
  </si>
  <si>
    <t>time [sec/1M reads]</t>
  </si>
  <si>
    <t>unmapped on A</t>
  </si>
  <si>
    <t>unmapped on B</t>
  </si>
  <si>
    <t>unmapped on D</t>
  </si>
  <si>
    <t>A reads</t>
  </si>
  <si>
    <t>B reads</t>
  </si>
  <si>
    <t>D reads</t>
  </si>
  <si>
    <t>%A</t>
  </si>
  <si>
    <t>%B</t>
  </si>
  <si>
    <t>%D</t>
  </si>
  <si>
    <t>Execution time</t>
  </si>
  <si>
    <t>total time</t>
  </si>
  <si>
    <t>time [min/1M reads]</t>
  </si>
  <si>
    <t>multi-loci on A</t>
  </si>
  <si>
    <t>multi-loci on B</t>
  </si>
  <si>
    <t>multi-loci on D</t>
  </si>
  <si>
    <t>unmapped</t>
  </si>
  <si>
    <t>uniquely mapped</t>
  </si>
  <si>
    <t>Sysnthesis dataset (R1 reads were randomly shorten)</t>
  </si>
  <si>
    <t>% homeolog reads</t>
  </si>
  <si>
    <t>* percentage of input reads that classified as A, B, D-origin</t>
  </si>
  <si>
    <t>* numbers are represented number of read pairs</t>
  </si>
  <si>
    <t>* numbers are represented number of (single-end) read</t>
  </si>
  <si>
    <t>20181221.A-ZH_W2017_1_CS_2.bam</t>
  </si>
  <si>
    <t>-- A + B + D + U --</t>
  </si>
  <si>
    <t>-- A --</t>
  </si>
  <si>
    <t>-- B --</t>
  </si>
  <si>
    <t>-- D --</t>
  </si>
  <si>
    <t>20181221.A-ZH_W2017_1_CS_3.bam</t>
  </si>
  <si>
    <t>20181221.A-ZH_W2017_1_CS-4.bam</t>
  </si>
  <si>
    <t>20181221.A-ZH_W2017_1_CS_cold_2.bam</t>
  </si>
  <si>
    <t>20181221.A-ZH_W2017_1_CS_cold_3.bam</t>
  </si>
  <si>
    <t>20181221.A-ZH_W2017_1_CS_cold_4.bam</t>
  </si>
  <si>
    <t>S</t>
  </si>
  <si>
    <t>A</t>
  </si>
  <si>
    <t>B</t>
  </si>
  <si>
    <t>D</t>
  </si>
  <si>
    <t>%F</t>
  </si>
  <si>
    <t>STAR step</t>
  </si>
  <si>
    <t>EAGLE step</t>
  </si>
  <si>
    <t>EAGLE-RC step</t>
  </si>
  <si>
    <t>% effective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</si>
</sst>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41" fontId="0" fillId="0" borderId="0" xfId="1" applyFont="1" applyBorder="1"/>
    <xf numFmtId="10" fontId="0" fillId="0" borderId="0" xfId="2" applyNumberFormat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41" fontId="0" fillId="0" borderId="2" xfId="1" applyFont="1" applyBorder="1"/>
    <xf numFmtId="10" fontId="0" fillId="0" borderId="2" xfId="2" applyNumberFormat="1" applyFont="1" applyBorder="1"/>
    <xf numFmtId="0" fontId="0" fillId="0" borderId="1" xfId="0" applyFill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41" fontId="0" fillId="0" borderId="0" xfId="0" applyNumberFormat="1"/>
    <xf numFmtId="43" fontId="0" fillId="0" borderId="0" xfId="0" applyNumberFormat="1"/>
    <xf numFmtId="0" fontId="0" fillId="0" borderId="1" xfId="0" applyFill="1" applyBorder="1" applyAlignment="1">
      <alignment horizontal="center" vertical="center"/>
    </xf>
    <xf numFmtId="0" fontId="2" fillId="0" borderId="0" xfId="0" applyFont="1"/>
    <xf numFmtId="2" fontId="0" fillId="0" borderId="0" xfId="0" applyNumberFormat="1"/>
    <xf numFmtId="2" fontId="0" fillId="0" borderId="1" xfId="0" applyNumberFormat="1" applyBorder="1"/>
    <xf numFmtId="43" fontId="0" fillId="0" borderId="1" xfId="0" applyNumberFormat="1" applyBorder="1"/>
    <xf numFmtId="0" fontId="0" fillId="0" borderId="0" xfId="0" applyFill="1" applyBorder="1" applyAlignment="1">
      <alignment horizontal="center" vertical="center"/>
    </xf>
    <xf numFmtId="43" fontId="0" fillId="0" borderId="0" xfId="0" applyNumberFormat="1" applyBorder="1"/>
    <xf numFmtId="0" fontId="0" fillId="0" borderId="3" xfId="0" applyFill="1" applyBorder="1" applyAlignment="1">
      <alignment horizontal="center" vertical="center"/>
    </xf>
    <xf numFmtId="41" fontId="0" fillId="0" borderId="4" xfId="1" applyFont="1" applyBorder="1"/>
    <xf numFmtId="41" fontId="0" fillId="0" borderId="3" xfId="1" applyFont="1" applyBorder="1"/>
    <xf numFmtId="0" fontId="0" fillId="0" borderId="4" xfId="0" applyBorder="1"/>
    <xf numFmtId="0" fontId="0" fillId="0" borderId="3" xfId="0" applyBorder="1"/>
    <xf numFmtId="0" fontId="0" fillId="0" borderId="5" xfId="0" applyFill="1" applyBorder="1" applyAlignment="1">
      <alignment horizontal="center" vertical="center"/>
    </xf>
    <xf numFmtId="41" fontId="0" fillId="0" borderId="6" xfId="1" applyFont="1" applyBorder="1"/>
    <xf numFmtId="41" fontId="0" fillId="0" borderId="5" xfId="1" applyFont="1" applyBorder="1"/>
    <xf numFmtId="0" fontId="0" fillId="0" borderId="6" xfId="0" applyBorder="1"/>
    <xf numFmtId="0" fontId="0" fillId="0" borderId="5" xfId="0" applyBorder="1"/>
    <xf numFmtId="10" fontId="0" fillId="0" borderId="2" xfId="0" applyNumberFormat="1" applyBorder="1"/>
    <xf numFmtId="2" fontId="0" fillId="0" borderId="2" xfId="1" applyNumberFormat="1" applyFont="1" applyBorder="1"/>
    <xf numFmtId="2" fontId="0" fillId="0" borderId="1" xfId="1" applyNumberFormat="1" applyFont="1" applyBorder="1"/>
    <xf numFmtId="10" fontId="0" fillId="0" borderId="4" xfId="2" applyNumberFormat="1" applyFont="1" applyBorder="1"/>
    <xf numFmtId="10" fontId="0" fillId="0" borderId="7" xfId="2" applyNumberFormat="1" applyFont="1" applyBorder="1"/>
    <xf numFmtId="10" fontId="0" fillId="0" borderId="3" xfId="2" applyNumberFormat="1" applyFont="1" applyBorder="1"/>
    <xf numFmtId="10" fontId="0" fillId="0" borderId="0" xfId="0" applyNumberFormat="1"/>
    <xf numFmtId="0" fontId="0" fillId="0" borderId="0" xfId="0" applyFill="1" applyBorder="1"/>
    <xf numFmtId="41" fontId="0" fillId="0" borderId="0" xfId="1" applyNumberFormat="1" applyFont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0030-29F0-CB48-BD92-B4FBBB4EA906}">
  <dimension ref="A1:F9"/>
  <sheetViews>
    <sheetView workbookViewId="0">
      <selection activeCell="D14" sqref="D14"/>
    </sheetView>
  </sheetViews>
  <sheetFormatPr baseColWidth="10" defaultRowHeight="16" x14ac:dyDescent="0.2"/>
  <cols>
    <col min="1" max="1" width="36.83203125" customWidth="1"/>
    <col min="2" max="2" width="10.6640625" customWidth="1"/>
    <col min="3" max="3" width="15.6640625" customWidth="1"/>
    <col min="4" max="6" width="19.1640625" customWidth="1"/>
  </cols>
  <sheetData>
    <row r="1" spans="1:6" x14ac:dyDescent="0.2">
      <c r="A1" t="s">
        <v>0</v>
      </c>
      <c r="B1" t="s">
        <v>1</v>
      </c>
      <c r="C1" s="9" t="s">
        <v>2</v>
      </c>
      <c r="D1" t="s">
        <v>14</v>
      </c>
      <c r="E1" t="s">
        <v>15</v>
      </c>
      <c r="F1" t="s">
        <v>7</v>
      </c>
    </row>
    <row r="2" spans="1:6" x14ac:dyDescent="0.2">
      <c r="A2" s="14" t="s">
        <v>16</v>
      </c>
      <c r="B2" s="15">
        <v>1</v>
      </c>
      <c r="C2" s="1" t="s">
        <v>12</v>
      </c>
      <c r="D2" s="16">
        <v>33884464</v>
      </c>
      <c r="E2" s="16">
        <v>31348950</v>
      </c>
      <c r="F2" s="17">
        <f>E2/D2</f>
        <v>0.925171783741363</v>
      </c>
    </row>
    <row r="3" spans="1:6" x14ac:dyDescent="0.2">
      <c r="A3" s="5" t="s">
        <v>17</v>
      </c>
      <c r="B3" s="6">
        <v>2</v>
      </c>
      <c r="C3" s="1" t="s">
        <v>12</v>
      </c>
      <c r="D3" s="7">
        <v>30478239</v>
      </c>
      <c r="E3" s="7">
        <v>28108389</v>
      </c>
      <c r="F3" s="8">
        <f t="shared" ref="F3:F7" si="0">E3/D3</f>
        <v>0.92224452337945118</v>
      </c>
    </row>
    <row r="4" spans="1:6" x14ac:dyDescent="0.2">
      <c r="A4" s="5" t="s">
        <v>18</v>
      </c>
      <c r="B4" s="6">
        <v>3</v>
      </c>
      <c r="C4" s="1" t="s">
        <v>12</v>
      </c>
      <c r="D4" s="7">
        <v>21491803</v>
      </c>
      <c r="E4" s="7">
        <v>19835132</v>
      </c>
      <c r="F4" s="8">
        <f t="shared" si="0"/>
        <v>0.92291614621630391</v>
      </c>
    </row>
    <row r="5" spans="1:6" x14ac:dyDescent="0.2">
      <c r="A5" s="5" t="s">
        <v>19</v>
      </c>
      <c r="B5" s="6">
        <v>1</v>
      </c>
      <c r="C5" s="1" t="s">
        <v>13</v>
      </c>
      <c r="D5" s="7">
        <v>30052628</v>
      </c>
      <c r="E5" s="7">
        <v>28524364</v>
      </c>
      <c r="F5" s="8">
        <f t="shared" si="0"/>
        <v>0.94914707625569383</v>
      </c>
    </row>
    <row r="6" spans="1:6" x14ac:dyDescent="0.2">
      <c r="A6" s="5" t="s">
        <v>20</v>
      </c>
      <c r="B6" s="6">
        <v>2</v>
      </c>
      <c r="C6" s="1" t="s">
        <v>13</v>
      </c>
      <c r="D6" s="7">
        <v>39661805</v>
      </c>
      <c r="E6" s="7">
        <v>37488386</v>
      </c>
      <c r="F6" s="8">
        <f t="shared" si="0"/>
        <v>0.94520120806403041</v>
      </c>
    </row>
    <row r="7" spans="1:6" x14ac:dyDescent="0.2">
      <c r="A7" s="9" t="s">
        <v>21</v>
      </c>
      <c r="B7" s="10">
        <v>3</v>
      </c>
      <c r="C7" s="11" t="s">
        <v>13</v>
      </c>
      <c r="D7" s="12">
        <v>36227278</v>
      </c>
      <c r="E7" s="12">
        <v>34464937</v>
      </c>
      <c r="F7" s="13">
        <f t="shared" si="0"/>
        <v>0.95135320406904433</v>
      </c>
    </row>
    <row r="8" spans="1:6" x14ac:dyDescent="0.2">
      <c r="C8" t="s">
        <v>8</v>
      </c>
      <c r="D8" s="21">
        <f>AVERAGE(D2:D7)</f>
        <v>31966036.166666668</v>
      </c>
      <c r="E8" s="21">
        <f t="shared" ref="E8:F8" si="1">AVERAGE(E2:E7)</f>
        <v>29961693</v>
      </c>
      <c r="F8" s="3">
        <f t="shared" si="1"/>
        <v>0.93600565695431437</v>
      </c>
    </row>
    <row r="9" spans="1:6" x14ac:dyDescent="0.2">
      <c r="A9" s="9"/>
      <c r="B9" s="9"/>
      <c r="C9" s="9" t="s">
        <v>9</v>
      </c>
      <c r="D9" s="20">
        <f>STDEV(D2:D7)</f>
        <v>6271325.8072128734</v>
      </c>
      <c r="E9" s="20">
        <f t="shared" ref="E9:F9" si="2">STDEV(E2:E7)</f>
        <v>6113962.4480562843</v>
      </c>
      <c r="F9" s="13">
        <f t="shared" si="2"/>
        <v>1.3934698858066134E-2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8285-BE0D-0046-88C0-1ED8933A3288}">
  <dimension ref="A1:R38"/>
  <sheetViews>
    <sheetView tabSelected="1" workbookViewId="0">
      <selection activeCell="G2" sqref="G2"/>
    </sheetView>
  </sheetViews>
  <sheetFormatPr baseColWidth="10" defaultRowHeight="16" x14ac:dyDescent="0.2"/>
  <cols>
    <col min="1" max="1" width="33.6640625" customWidth="1"/>
    <col min="2" max="2" width="9.33203125" customWidth="1"/>
    <col min="3" max="3" width="10.6640625" customWidth="1"/>
    <col min="4" max="4" width="12.6640625" customWidth="1"/>
    <col min="5" max="6" width="20.6640625" customWidth="1"/>
    <col min="7" max="7" width="16.1640625" customWidth="1"/>
    <col min="9" max="11" width="20.33203125" customWidth="1"/>
    <col min="12" max="12" width="23.6640625" customWidth="1"/>
    <col min="17" max="17" width="21.5" customWidth="1"/>
  </cols>
  <sheetData>
    <row r="1" spans="1:18" x14ac:dyDescent="0.2">
      <c r="A1" s="9" t="s">
        <v>0</v>
      </c>
      <c r="B1" s="9" t="s">
        <v>1</v>
      </c>
      <c r="C1" s="9" t="s">
        <v>11</v>
      </c>
      <c r="D1" s="9" t="s">
        <v>3</v>
      </c>
      <c r="E1" s="9" t="s">
        <v>22</v>
      </c>
      <c r="F1" s="9" t="s">
        <v>23</v>
      </c>
      <c r="G1" s="9" t="s">
        <v>24</v>
      </c>
      <c r="H1" s="9" t="s">
        <v>63</v>
      </c>
      <c r="I1" s="9" t="s">
        <v>4</v>
      </c>
      <c r="J1" s="9" t="s">
        <v>5</v>
      </c>
      <c r="K1" s="9" t="s">
        <v>6</v>
      </c>
      <c r="L1" s="9" t="s">
        <v>10</v>
      </c>
      <c r="M1" s="18" t="s">
        <v>33</v>
      </c>
      <c r="N1" s="18" t="s">
        <v>34</v>
      </c>
      <c r="O1" s="18" t="s">
        <v>35</v>
      </c>
      <c r="P1" s="18" t="s">
        <v>25</v>
      </c>
      <c r="Q1" s="18" t="s">
        <v>26</v>
      </c>
      <c r="R1" s="18" t="s">
        <v>45</v>
      </c>
    </row>
    <row r="2" spans="1:18" x14ac:dyDescent="0.2">
      <c r="A2" s="14" t="s">
        <v>16</v>
      </c>
      <c r="B2" s="2">
        <v>1</v>
      </c>
      <c r="C2" s="1" t="s">
        <v>12</v>
      </c>
      <c r="D2" s="4">
        <v>31348950</v>
      </c>
      <c r="E2" s="4">
        <v>16470654</v>
      </c>
      <c r="F2" s="4">
        <v>12185796</v>
      </c>
      <c r="G2" s="4">
        <v>2692500</v>
      </c>
      <c r="H2" s="3">
        <f>F2/D2</f>
        <v>0.38871464594507948</v>
      </c>
      <c r="I2" s="4">
        <v>3840905</v>
      </c>
      <c r="J2" s="4">
        <v>4107296</v>
      </c>
      <c r="K2" s="4">
        <v>4076712</v>
      </c>
      <c r="L2" s="4">
        <f t="shared" ref="L2:L7" si="0">F2-(I2+J2+K2)</f>
        <v>160883</v>
      </c>
      <c r="M2" s="3">
        <f>I2/($I2+$J2+$K2)</f>
        <v>0.31941229013465627</v>
      </c>
      <c r="N2" s="3">
        <f t="shared" ref="N2:O7" si="1">J2/($I2+$J2+$K2)</f>
        <v>0.34156554812496359</v>
      </c>
      <c r="O2" s="3">
        <f t="shared" si="1"/>
        <v>0.33902216174038013</v>
      </c>
      <c r="P2" s="26">
        <v>13.295483333333333</v>
      </c>
      <c r="Q2" s="23">
        <f>P2/D2*1000000*60</f>
        <v>25.446753400034133</v>
      </c>
      <c r="R2" s="3">
        <f>(I2+J2+K2)/D2</f>
        <v>0.38358263992892905</v>
      </c>
    </row>
    <row r="3" spans="1:18" x14ac:dyDescent="0.2">
      <c r="A3" s="5" t="s">
        <v>17</v>
      </c>
      <c r="B3" s="2">
        <v>2</v>
      </c>
      <c r="C3" s="1" t="s">
        <v>12</v>
      </c>
      <c r="D3" s="4">
        <v>28108389</v>
      </c>
      <c r="E3" s="4">
        <v>15273806</v>
      </c>
      <c r="F3" s="4">
        <v>10871637</v>
      </c>
      <c r="G3" s="4">
        <v>1962946</v>
      </c>
      <c r="H3" s="3">
        <f>F3/D3</f>
        <v>0.38677552811724641</v>
      </c>
      <c r="I3" s="4">
        <v>3466840</v>
      </c>
      <c r="J3" s="4">
        <v>3700127</v>
      </c>
      <c r="K3" s="4">
        <v>3580410</v>
      </c>
      <c r="L3" s="4">
        <f t="shared" si="0"/>
        <v>124260</v>
      </c>
      <c r="M3" s="3">
        <f t="shared" ref="M3:M7" si="2">I3/($I3+$J3+$K3)</f>
        <v>0.32257545259648007</v>
      </c>
      <c r="N3" s="3">
        <f t="shared" si="1"/>
        <v>0.34428186524023491</v>
      </c>
      <c r="O3" s="3">
        <f t="shared" si="1"/>
        <v>0.33314268216328508</v>
      </c>
      <c r="P3" s="26">
        <v>10.894283333333334</v>
      </c>
      <c r="Q3" s="23">
        <f t="shared" ref="Q3:Q7" si="3">P3/D3*1000000*60</f>
        <v>23.254872415491331</v>
      </c>
      <c r="R3" s="3">
        <f t="shared" ref="R3:R7" si="4">(I3+J3+K3)/D3</f>
        <v>0.38235478383339577</v>
      </c>
    </row>
    <row r="4" spans="1:18" x14ac:dyDescent="0.2">
      <c r="A4" s="5" t="s">
        <v>18</v>
      </c>
      <c r="B4" s="2">
        <v>3</v>
      </c>
      <c r="C4" s="1" t="s">
        <v>12</v>
      </c>
      <c r="D4" s="4">
        <v>19835132</v>
      </c>
      <c r="E4" s="4">
        <v>10346537</v>
      </c>
      <c r="F4" s="4">
        <v>8012631</v>
      </c>
      <c r="G4" s="4">
        <v>1475964</v>
      </c>
      <c r="H4" s="3">
        <f t="shared" ref="H4:H6" si="5">F4/D4</f>
        <v>0.40396156677959089</v>
      </c>
      <c r="I4" s="4">
        <v>2587147</v>
      </c>
      <c r="J4" s="4">
        <v>2709049</v>
      </c>
      <c r="K4" s="4">
        <v>2626439</v>
      </c>
      <c r="L4" s="4">
        <f t="shared" si="0"/>
        <v>89996</v>
      </c>
      <c r="M4" s="3">
        <f t="shared" si="2"/>
        <v>0.32655133046013102</v>
      </c>
      <c r="N4" s="3">
        <f t="shared" si="1"/>
        <v>0.34193787799135011</v>
      </c>
      <c r="O4" s="3">
        <f t="shared" si="1"/>
        <v>0.33151079154851887</v>
      </c>
      <c r="P4" s="26">
        <v>7.8600666666666665</v>
      </c>
      <c r="Q4" s="23">
        <f t="shared" si="3"/>
        <v>23.776196699875758</v>
      </c>
      <c r="R4" s="3">
        <f t="shared" si="4"/>
        <v>0.3994243648088654</v>
      </c>
    </row>
    <row r="5" spans="1:18" x14ac:dyDescent="0.2">
      <c r="A5" s="5" t="s">
        <v>19</v>
      </c>
      <c r="B5" s="2">
        <v>1</v>
      </c>
      <c r="C5" s="1" t="s">
        <v>13</v>
      </c>
      <c r="D5" s="4">
        <v>28524364</v>
      </c>
      <c r="E5" s="4">
        <v>15588972</v>
      </c>
      <c r="F5" s="4">
        <v>11306634</v>
      </c>
      <c r="G5" s="4">
        <v>1628758</v>
      </c>
      <c r="H5" s="3">
        <f t="shared" si="5"/>
        <v>0.39638513938470282</v>
      </c>
      <c r="I5" s="4">
        <v>3600785</v>
      </c>
      <c r="J5" s="4">
        <v>3870045</v>
      </c>
      <c r="K5" s="4">
        <v>3709420</v>
      </c>
      <c r="L5" s="4">
        <f t="shared" si="0"/>
        <v>126384</v>
      </c>
      <c r="M5" s="3">
        <f t="shared" si="2"/>
        <v>0.32206659063974419</v>
      </c>
      <c r="N5" s="3">
        <f t="shared" si="1"/>
        <v>0.34615013081102836</v>
      </c>
      <c r="O5" s="3">
        <f t="shared" si="1"/>
        <v>0.33178327854922746</v>
      </c>
      <c r="P5" s="26">
        <v>10.9895</v>
      </c>
      <c r="Q5" s="23">
        <f t="shared" si="3"/>
        <v>23.116028108461943</v>
      </c>
      <c r="R5" s="3">
        <f t="shared" si="4"/>
        <v>0.39195440080627214</v>
      </c>
    </row>
    <row r="6" spans="1:18" x14ac:dyDescent="0.2">
      <c r="A6" s="5" t="s">
        <v>20</v>
      </c>
      <c r="B6" s="2">
        <v>2</v>
      </c>
      <c r="C6" s="1" t="s">
        <v>13</v>
      </c>
      <c r="D6" s="4">
        <v>37488386</v>
      </c>
      <c r="E6" s="4">
        <v>20841930</v>
      </c>
      <c r="F6" s="4">
        <v>14647591</v>
      </c>
      <c r="G6" s="4">
        <v>1998865</v>
      </c>
      <c r="H6" s="3">
        <f t="shared" si="5"/>
        <v>0.39072343631971779</v>
      </c>
      <c r="I6" s="4">
        <v>4716813</v>
      </c>
      <c r="J6" s="4">
        <v>5005045</v>
      </c>
      <c r="K6" s="4">
        <v>4775466</v>
      </c>
      <c r="L6" s="4">
        <f t="shared" si="0"/>
        <v>150267</v>
      </c>
      <c r="M6" s="3">
        <f t="shared" si="2"/>
        <v>0.32535749356226018</v>
      </c>
      <c r="N6" s="3">
        <f t="shared" si="1"/>
        <v>0.3452392317368364</v>
      </c>
      <c r="O6" s="3">
        <f t="shared" si="1"/>
        <v>0.32940327470090341</v>
      </c>
      <c r="P6" s="26">
        <v>14.183950000000001</v>
      </c>
      <c r="Q6" s="23">
        <f t="shared" si="3"/>
        <v>22.701350759672607</v>
      </c>
      <c r="R6" s="3">
        <f t="shared" si="4"/>
        <v>0.38671507490346479</v>
      </c>
    </row>
    <row r="7" spans="1:18" x14ac:dyDescent="0.2">
      <c r="A7" s="9" t="s">
        <v>21</v>
      </c>
      <c r="B7" s="10">
        <v>3</v>
      </c>
      <c r="C7" s="11" t="s">
        <v>13</v>
      </c>
      <c r="D7" s="12">
        <v>34464937</v>
      </c>
      <c r="E7" s="7">
        <v>17460985</v>
      </c>
      <c r="F7" s="12">
        <v>14570236</v>
      </c>
      <c r="G7" s="4">
        <v>2433716</v>
      </c>
      <c r="H7" s="3">
        <f>F7/D7</f>
        <v>0.42275533537171417</v>
      </c>
      <c r="I7" s="4">
        <v>4641103</v>
      </c>
      <c r="J7" s="4">
        <v>4900376</v>
      </c>
      <c r="K7" s="4">
        <v>4861119</v>
      </c>
      <c r="L7" s="4">
        <f t="shared" si="0"/>
        <v>167638</v>
      </c>
      <c r="M7" s="3">
        <f t="shared" si="2"/>
        <v>0.32224068185475979</v>
      </c>
      <c r="N7" s="3">
        <f t="shared" si="1"/>
        <v>0.3402425034705544</v>
      </c>
      <c r="O7" s="3">
        <f t="shared" si="1"/>
        <v>0.33751681467468575</v>
      </c>
      <c r="P7" s="27">
        <v>13.393233333333335</v>
      </c>
      <c r="Q7" s="23">
        <f t="shared" si="3"/>
        <v>23.316276481224961</v>
      </c>
      <c r="R7" s="3">
        <f t="shared" si="4"/>
        <v>0.41789131951699199</v>
      </c>
    </row>
    <row r="8" spans="1:18" x14ac:dyDescent="0.2">
      <c r="A8" s="14"/>
      <c r="B8" s="14"/>
      <c r="C8" s="14" t="s">
        <v>8</v>
      </c>
      <c r="D8" s="19"/>
      <c r="E8" s="19"/>
      <c r="F8" s="19"/>
      <c r="G8" s="19"/>
      <c r="H8" s="17">
        <f t="shared" ref="H8:P8" si="6">AVERAGE(H2:H7)</f>
        <v>0.39821927531967533</v>
      </c>
      <c r="I8" s="19"/>
      <c r="J8" s="19"/>
      <c r="K8" s="19"/>
      <c r="L8" s="19"/>
      <c r="M8" s="17">
        <f t="shared" si="6"/>
        <v>0.32303397320800525</v>
      </c>
      <c r="N8" s="17">
        <f t="shared" si="6"/>
        <v>0.34323619289582802</v>
      </c>
      <c r="O8" s="17">
        <f t="shared" si="6"/>
        <v>0.33372983389616678</v>
      </c>
      <c r="P8" s="42">
        <f t="shared" si="6"/>
        <v>11.769419444444445</v>
      </c>
      <c r="Q8" s="42">
        <f t="shared" ref="Q8:R8" si="7">AVERAGE(Q2:Q7)</f>
        <v>23.60191297746012</v>
      </c>
      <c r="R8" s="17">
        <f t="shared" si="7"/>
        <v>0.39365376396631985</v>
      </c>
    </row>
    <row r="9" spans="1:18" x14ac:dyDescent="0.2">
      <c r="A9" s="9"/>
      <c r="B9" s="9"/>
      <c r="C9" s="9" t="s">
        <v>9</v>
      </c>
      <c r="D9" s="20"/>
      <c r="E9" s="20"/>
      <c r="F9" s="20"/>
      <c r="G9" s="20"/>
      <c r="H9" s="13">
        <f t="shared" ref="H9:P9" si="8">STDEV(H2:H7)</f>
        <v>1.3533965720443119E-2</v>
      </c>
      <c r="I9" s="20"/>
      <c r="J9" s="20"/>
      <c r="K9" s="20"/>
      <c r="L9" s="20"/>
      <c r="M9" s="13">
        <f t="shared" si="8"/>
        <v>2.5558763082435729E-3</v>
      </c>
      <c r="N9" s="13">
        <f t="shared" si="8"/>
        <v>2.3253163802239431E-3</v>
      </c>
      <c r="O9" s="13">
        <f t="shared" si="8"/>
        <v>3.7450512870828598E-3</v>
      </c>
      <c r="P9" s="43">
        <f t="shared" si="8"/>
        <v>2.3431934207974581</v>
      </c>
      <c r="Q9" s="43">
        <f t="shared" ref="Q9:R9" si="9">STDEV(Q2:Q7)</f>
        <v>0.96777402055675832</v>
      </c>
      <c r="R9" s="13">
        <f t="shared" si="9"/>
        <v>1.3423015053536524E-2</v>
      </c>
    </row>
    <row r="10" spans="1:18" x14ac:dyDescent="0.2">
      <c r="A10" s="48" t="s">
        <v>47</v>
      </c>
      <c r="R10" t="s">
        <v>46</v>
      </c>
    </row>
    <row r="18" spans="1:17" x14ac:dyDescent="0.2">
      <c r="A18" s="25" t="s">
        <v>44</v>
      </c>
      <c r="H18" s="4"/>
      <c r="I18" s="4"/>
      <c r="J18" s="4"/>
      <c r="K18" s="22"/>
      <c r="L18" s="22"/>
      <c r="M18" s="22"/>
    </row>
    <row r="19" spans="1:17" x14ac:dyDescent="0.2">
      <c r="A19" s="9" t="s">
        <v>0</v>
      </c>
      <c r="B19" s="9" t="s">
        <v>1</v>
      </c>
      <c r="C19" s="9" t="s">
        <v>11</v>
      </c>
      <c r="D19" s="9" t="s">
        <v>3</v>
      </c>
      <c r="E19" s="9" t="s">
        <v>42</v>
      </c>
      <c r="F19" s="9" t="s">
        <v>43</v>
      </c>
      <c r="G19" s="9" t="s">
        <v>24</v>
      </c>
      <c r="H19" s="9" t="s">
        <v>63</v>
      </c>
      <c r="I19" s="9" t="s">
        <v>4</v>
      </c>
      <c r="J19" s="9" t="s">
        <v>5</v>
      </c>
      <c r="K19" s="9" t="s">
        <v>6</v>
      </c>
      <c r="L19" s="9" t="s">
        <v>10</v>
      </c>
      <c r="M19" s="18" t="s">
        <v>33</v>
      </c>
      <c r="N19" s="18" t="s">
        <v>34</v>
      </c>
      <c r="O19" s="18" t="s">
        <v>35</v>
      </c>
      <c r="P19" s="18" t="s">
        <v>25</v>
      </c>
      <c r="Q19" s="18" t="s">
        <v>26</v>
      </c>
    </row>
    <row r="20" spans="1:17" x14ac:dyDescent="0.2">
      <c r="A20" s="14" t="s">
        <v>16</v>
      </c>
      <c r="B20" s="2">
        <v>1</v>
      </c>
      <c r="C20" s="1" t="s">
        <v>12</v>
      </c>
      <c r="D20" s="4">
        <v>31348950</v>
      </c>
      <c r="E20" s="4">
        <v>5507028</v>
      </c>
      <c r="F20" s="4">
        <v>18017683</v>
      </c>
      <c r="G20" s="4">
        <v>7824239</v>
      </c>
      <c r="H20" s="3">
        <f>F20/D20</f>
        <v>0.57474598032788982</v>
      </c>
      <c r="I20" s="4">
        <v>5848463</v>
      </c>
      <c r="J20" s="4">
        <v>6182244</v>
      </c>
      <c r="K20" s="4">
        <v>5786978</v>
      </c>
      <c r="L20" s="4">
        <f t="shared" ref="L20:L25" si="10">F20-(I20+J20+K20)</f>
        <v>199998</v>
      </c>
      <c r="M20" s="3">
        <f>I20/($I20+$J20+$K20)</f>
        <v>0.32823921850678134</v>
      </c>
      <c r="N20" s="3">
        <f t="shared" ref="N20:N25" si="11">J20/($I20+$J20+$K20)</f>
        <v>0.34697234797898829</v>
      </c>
      <c r="O20" s="3">
        <f t="shared" ref="O20:O25" si="12">K20/($I20+$J20+$K20)</f>
        <v>0.32478843351423037</v>
      </c>
      <c r="P20" s="26">
        <v>5.5030166666666664</v>
      </c>
      <c r="Q20" s="23">
        <f>P20/D20*1000000*60</f>
        <v>10.532442075412414</v>
      </c>
    </row>
    <row r="21" spans="1:17" x14ac:dyDescent="0.2">
      <c r="A21" s="5" t="s">
        <v>17</v>
      </c>
      <c r="B21" s="2">
        <v>2</v>
      </c>
      <c r="C21" s="1" t="s">
        <v>12</v>
      </c>
      <c r="D21" s="4">
        <v>28108389</v>
      </c>
      <c r="E21" s="4">
        <v>3917664</v>
      </c>
      <c r="F21" s="4">
        <v>17079852</v>
      </c>
      <c r="G21" s="4">
        <v>7110873</v>
      </c>
      <c r="H21" s="3">
        <f>F21/D21</f>
        <v>0.60764250843404788</v>
      </c>
      <c r="I21" s="4">
        <v>5560033</v>
      </c>
      <c r="J21" s="4">
        <v>5894893</v>
      </c>
      <c r="K21" s="4">
        <v>5445242</v>
      </c>
      <c r="L21" s="4">
        <f>F21-(I21+J21+K21)</f>
        <v>179684</v>
      </c>
      <c r="M21" s="3">
        <f t="shared" ref="M21:M25" si="13">I21/($I21+$J21+$K21)</f>
        <v>0.32899276504233566</v>
      </c>
      <c r="N21" s="3">
        <f t="shared" si="11"/>
        <v>0.34880676925815174</v>
      </c>
      <c r="O21" s="3">
        <f t="shared" si="12"/>
        <v>0.32220046569951255</v>
      </c>
      <c r="P21" s="26">
        <v>5.114583333333333</v>
      </c>
      <c r="Q21" s="23">
        <f t="shared" ref="Q21:Q22" si="14">P21/D21*1000000*60</f>
        <v>10.917559167122668</v>
      </c>
    </row>
    <row r="22" spans="1:17" x14ac:dyDescent="0.2">
      <c r="A22" s="5" t="s">
        <v>18</v>
      </c>
      <c r="B22" s="2">
        <v>3</v>
      </c>
      <c r="C22" s="1" t="s">
        <v>12</v>
      </c>
      <c r="D22" s="4">
        <v>19835132</v>
      </c>
      <c r="E22" s="4">
        <v>2488222</v>
      </c>
      <c r="F22" s="4">
        <v>12116877</v>
      </c>
      <c r="G22" s="4">
        <v>5230033</v>
      </c>
      <c r="H22" s="3">
        <f t="shared" ref="H22:H24" si="15">F22/D22</f>
        <v>0.61087957468596632</v>
      </c>
      <c r="I22" s="4">
        <v>3983335</v>
      </c>
      <c r="J22" s="4">
        <v>4161000</v>
      </c>
      <c r="K22" s="4">
        <v>3847932</v>
      </c>
      <c r="L22" s="4">
        <f t="shared" si="10"/>
        <v>124610</v>
      </c>
      <c r="M22" s="3">
        <f t="shared" si="13"/>
        <v>0.33215863189170153</v>
      </c>
      <c r="N22" s="3">
        <f t="shared" si="11"/>
        <v>0.34697359556787721</v>
      </c>
      <c r="O22" s="3">
        <f t="shared" si="12"/>
        <v>0.32086777254042126</v>
      </c>
      <c r="P22" s="26">
        <v>2.9014333333333338</v>
      </c>
      <c r="Q22" s="23">
        <f t="shared" si="14"/>
        <v>8.7766494319271491</v>
      </c>
    </row>
    <row r="23" spans="1:17" x14ac:dyDescent="0.2">
      <c r="A23" s="5" t="s">
        <v>19</v>
      </c>
      <c r="B23" s="2">
        <v>1</v>
      </c>
      <c r="C23" s="1" t="s">
        <v>13</v>
      </c>
      <c r="D23" s="4">
        <v>28524364</v>
      </c>
      <c r="E23" s="4">
        <v>3771825</v>
      </c>
      <c r="F23" s="4">
        <v>18147965</v>
      </c>
      <c r="G23" s="4">
        <v>6604574</v>
      </c>
      <c r="H23" s="3">
        <f t="shared" si="15"/>
        <v>0.63622680596839953</v>
      </c>
      <c r="I23" s="4">
        <v>5866379</v>
      </c>
      <c r="J23" s="4">
        <v>6277796</v>
      </c>
      <c r="K23" s="4">
        <v>5813217</v>
      </c>
      <c r="L23" s="4">
        <f t="shared" si="10"/>
        <v>190573</v>
      </c>
      <c r="M23" s="3">
        <f t="shared" si="13"/>
        <v>0.32668323997159499</v>
      </c>
      <c r="N23" s="3">
        <f t="shared" si="11"/>
        <v>0.34959397222046495</v>
      </c>
      <c r="O23" s="3">
        <f t="shared" si="12"/>
        <v>0.32372278780794006</v>
      </c>
      <c r="P23" s="26">
        <v>4.1642666666666663</v>
      </c>
      <c r="Q23" s="23">
        <f>P23/D23*1000000*60</f>
        <v>8.7593889911094944</v>
      </c>
    </row>
    <row r="24" spans="1:17" x14ac:dyDescent="0.2">
      <c r="A24" s="5" t="s">
        <v>20</v>
      </c>
      <c r="B24" s="2">
        <v>2</v>
      </c>
      <c r="C24" s="1" t="s">
        <v>13</v>
      </c>
      <c r="D24" s="4">
        <v>37488386</v>
      </c>
      <c r="E24" s="4">
        <v>4097457</v>
      </c>
      <c r="F24" s="4">
        <v>24135964</v>
      </c>
      <c r="G24" s="4">
        <v>9254965</v>
      </c>
      <c r="H24" s="3">
        <f t="shared" si="15"/>
        <v>0.64382510359341694</v>
      </c>
      <c r="I24" s="4">
        <v>7849749</v>
      </c>
      <c r="J24" s="4">
        <v>8330545</v>
      </c>
      <c r="K24" s="4">
        <v>7710419</v>
      </c>
      <c r="L24" s="4">
        <f t="shared" si="10"/>
        <v>245251</v>
      </c>
      <c r="M24" s="3">
        <f t="shared" si="13"/>
        <v>0.32856905526427782</v>
      </c>
      <c r="N24" s="3">
        <f t="shared" si="11"/>
        <v>0.34869386275746561</v>
      </c>
      <c r="O24" s="3">
        <f t="shared" si="12"/>
        <v>0.32273708197825657</v>
      </c>
      <c r="P24" s="26">
        <v>5.4229666666666665</v>
      </c>
      <c r="Q24" s="23">
        <f t="shared" ref="Q24:Q25" si="16">P24/D24*1000000*60</f>
        <v>8.6794347454702372</v>
      </c>
    </row>
    <row r="25" spans="1:17" x14ac:dyDescent="0.2">
      <c r="A25" s="9" t="s">
        <v>21</v>
      </c>
      <c r="B25" s="10">
        <v>3</v>
      </c>
      <c r="C25" s="11" t="s">
        <v>13</v>
      </c>
      <c r="D25" s="12">
        <v>34464937</v>
      </c>
      <c r="E25" s="7">
        <v>3822898</v>
      </c>
      <c r="F25" s="12">
        <v>21838821</v>
      </c>
      <c r="G25" s="4">
        <v>8803218</v>
      </c>
      <c r="H25" s="3">
        <f>F25/D25</f>
        <v>0.63365329813311422</v>
      </c>
      <c r="I25" s="4">
        <v>7067501</v>
      </c>
      <c r="J25" s="4">
        <v>7468170</v>
      </c>
      <c r="K25" s="4">
        <v>7063722</v>
      </c>
      <c r="L25" s="4">
        <f t="shared" si="10"/>
        <v>239428</v>
      </c>
      <c r="M25" s="3">
        <f t="shared" si="13"/>
        <v>0.32720831552997809</v>
      </c>
      <c r="N25" s="3">
        <f t="shared" si="11"/>
        <v>0.34575832756040875</v>
      </c>
      <c r="O25" s="3">
        <f t="shared" si="12"/>
        <v>0.32703335690961316</v>
      </c>
      <c r="P25" s="27">
        <v>4.9768999999999997</v>
      </c>
      <c r="Q25" s="23">
        <f t="shared" si="16"/>
        <v>8.6642839358737263</v>
      </c>
    </row>
    <row r="26" spans="1:17" x14ac:dyDescent="0.2">
      <c r="A26" s="14"/>
      <c r="B26" s="14"/>
      <c r="C26" s="14" t="s">
        <v>8</v>
      </c>
      <c r="D26" s="19"/>
      <c r="E26" s="19"/>
      <c r="F26" s="19"/>
      <c r="G26" s="19"/>
      <c r="H26" s="17">
        <f t="shared" ref="H26" si="17">AVERAGE(H20:H25)</f>
        <v>0.61782887852380586</v>
      </c>
      <c r="I26" s="19"/>
      <c r="J26" s="19"/>
      <c r="K26" s="19"/>
      <c r="L26" s="19"/>
      <c r="M26" s="17">
        <f t="shared" ref="M26:Q26" si="18">AVERAGE(M20:M25)</f>
        <v>0.32864187103444492</v>
      </c>
      <c r="N26" s="17">
        <f t="shared" si="18"/>
        <v>0.34779981255722614</v>
      </c>
      <c r="O26" s="17">
        <f t="shared" si="18"/>
        <v>0.32355831640832894</v>
      </c>
      <c r="P26" s="42">
        <f t="shared" si="18"/>
        <v>4.6805277777777778</v>
      </c>
      <c r="Q26" s="42">
        <f t="shared" si="18"/>
        <v>9.3882930578192809</v>
      </c>
    </row>
    <row r="27" spans="1:17" x14ac:dyDescent="0.2">
      <c r="A27" s="9"/>
      <c r="B27" s="9"/>
      <c r="C27" s="9" t="s">
        <v>9</v>
      </c>
      <c r="D27" s="20"/>
      <c r="E27" s="20"/>
      <c r="F27" s="20"/>
      <c r="G27" s="20"/>
      <c r="H27" s="13">
        <f t="shared" ref="H27" si="19">STDEV(H20:H25)</f>
        <v>2.558472506982893E-2</v>
      </c>
      <c r="I27" s="20"/>
      <c r="J27" s="20"/>
      <c r="K27" s="20"/>
      <c r="L27" s="20"/>
      <c r="M27" s="13">
        <f t="shared" ref="M27:Q27" si="20">STDEV(M20:M25)</f>
        <v>1.9261091220942061E-3</v>
      </c>
      <c r="N27" s="13">
        <f t="shared" si="20"/>
        <v>1.4537736817839327E-3</v>
      </c>
      <c r="O27" s="13">
        <f t="shared" si="20"/>
        <v>2.1620988073070167E-3</v>
      </c>
      <c r="P27" s="43">
        <f t="shared" si="20"/>
        <v>0.9935438362339708</v>
      </c>
      <c r="Q27" s="43">
        <f t="shared" si="20"/>
        <v>1.0434586118661935</v>
      </c>
    </row>
    <row r="28" spans="1:17" x14ac:dyDescent="0.2">
      <c r="A28" s="48" t="s">
        <v>48</v>
      </c>
    </row>
    <row r="30" spans="1:17" x14ac:dyDescent="0.2">
      <c r="E30" s="49"/>
      <c r="F30" s="49"/>
      <c r="G30" s="47"/>
      <c r="H30" s="47"/>
    </row>
    <row r="31" spans="1:17" x14ac:dyDescent="0.2">
      <c r="E31" s="49"/>
      <c r="F31" s="49"/>
      <c r="G31" s="47"/>
      <c r="H31" s="47"/>
    </row>
    <row r="32" spans="1:17" x14ac:dyDescent="0.2">
      <c r="E32" s="49"/>
      <c r="F32" s="49"/>
      <c r="G32" s="47"/>
      <c r="H32" s="47"/>
    </row>
    <row r="33" spans="5:8" x14ac:dyDescent="0.2">
      <c r="E33" s="49"/>
      <c r="F33" s="49"/>
      <c r="G33" s="47"/>
      <c r="H33" s="47"/>
    </row>
    <row r="34" spans="5:8" x14ac:dyDescent="0.2">
      <c r="E34" s="49"/>
      <c r="F34" s="49"/>
      <c r="G34" s="47"/>
      <c r="H34" s="47"/>
    </row>
    <row r="35" spans="5:8" x14ac:dyDescent="0.2">
      <c r="E35" s="49"/>
      <c r="F35" s="49"/>
      <c r="G35" s="47"/>
      <c r="H35" s="47"/>
    </row>
    <row r="36" spans="5:8" x14ac:dyDescent="0.2">
      <c r="E36" s="49"/>
      <c r="F36" s="49"/>
      <c r="G36" s="47"/>
    </row>
    <row r="37" spans="5:8" x14ac:dyDescent="0.2">
      <c r="E37" s="49"/>
      <c r="F37" s="49"/>
      <c r="G37" s="47"/>
    </row>
    <row r="38" spans="5:8" x14ac:dyDescent="0.2">
      <c r="G38" s="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8FE8-9208-1D4A-9BAC-FDFBEF8F0685}">
  <dimension ref="A1:R24"/>
  <sheetViews>
    <sheetView topLeftCell="G1" workbookViewId="0">
      <selection activeCell="G1" sqref="G1"/>
    </sheetView>
  </sheetViews>
  <sheetFormatPr baseColWidth="10" defaultRowHeight="16" x14ac:dyDescent="0.2"/>
  <cols>
    <col min="1" max="1" width="33.6640625" customWidth="1"/>
    <col min="2" max="2" width="9.33203125" customWidth="1"/>
    <col min="3" max="3" width="10.6640625" customWidth="1"/>
    <col min="4" max="4" width="12.6640625" customWidth="1"/>
    <col min="5" max="6" width="20.6640625" customWidth="1"/>
    <col min="7" max="7" width="16.1640625" customWidth="1"/>
    <col min="9" max="11" width="20.33203125" customWidth="1"/>
    <col min="12" max="12" width="23.6640625" customWidth="1"/>
    <col min="17" max="17" width="21.5" customWidth="1"/>
  </cols>
  <sheetData>
    <row r="1" spans="1:18" x14ac:dyDescent="0.2">
      <c r="A1" s="9" t="s">
        <v>0</v>
      </c>
      <c r="B1" s="9" t="s">
        <v>1</v>
      </c>
      <c r="C1" s="9" t="s">
        <v>11</v>
      </c>
      <c r="D1" s="9" t="s">
        <v>3</v>
      </c>
      <c r="E1" s="9" t="s">
        <v>22</v>
      </c>
      <c r="F1" s="9" t="s">
        <v>23</v>
      </c>
      <c r="G1" s="9" t="s">
        <v>24</v>
      </c>
      <c r="H1" s="9" t="s">
        <v>63</v>
      </c>
      <c r="I1" s="9" t="s">
        <v>4</v>
      </c>
      <c r="J1" s="9" t="s">
        <v>5</v>
      </c>
      <c r="K1" s="9" t="s">
        <v>6</v>
      </c>
      <c r="L1" s="9" t="s">
        <v>10</v>
      </c>
      <c r="M1" s="18" t="s">
        <v>33</v>
      </c>
      <c r="N1" s="18" t="s">
        <v>34</v>
      </c>
      <c r="O1" s="18" t="s">
        <v>35</v>
      </c>
      <c r="P1" s="18" t="s">
        <v>25</v>
      </c>
      <c r="Q1" s="18" t="s">
        <v>26</v>
      </c>
      <c r="R1" s="18" t="s">
        <v>45</v>
      </c>
    </row>
    <row r="2" spans="1:18" x14ac:dyDescent="0.2">
      <c r="A2" s="14" t="s">
        <v>16</v>
      </c>
      <c r="B2" s="2">
        <v>1</v>
      </c>
      <c r="C2" s="1" t="s">
        <v>12</v>
      </c>
      <c r="D2" s="4">
        <v>31348950</v>
      </c>
      <c r="E2" s="4"/>
      <c r="F2" s="4">
        <v>13903417</v>
      </c>
      <c r="G2" s="4"/>
      <c r="H2" s="3">
        <f>F2/D2</f>
        <v>0.4435050296740401</v>
      </c>
      <c r="I2" s="4">
        <v>4346866</v>
      </c>
      <c r="J2" s="4">
        <v>4741362</v>
      </c>
      <c r="K2" s="4">
        <v>4641431</v>
      </c>
      <c r="L2" s="4">
        <f t="shared" ref="L2:L7" si="0">F2-(I2+J2+K2)</f>
        <v>173758</v>
      </c>
      <c r="M2" s="3">
        <f>I2/($I2+$J2+$K2)</f>
        <v>0.31660407589146972</v>
      </c>
      <c r="N2" s="3">
        <f t="shared" ref="N2:O7" si="1">J2/($I2+$J2+$K2)</f>
        <v>0.3453372002902621</v>
      </c>
      <c r="O2" s="3">
        <f t="shared" si="1"/>
        <v>0.33805872381826818</v>
      </c>
      <c r="P2" s="26">
        <v>857.375</v>
      </c>
      <c r="Q2" s="23">
        <f>P2/D2*1000000*60</f>
        <v>1640.9640514275598</v>
      </c>
      <c r="R2" s="3">
        <f>(I2+J2+K2)/D2</f>
        <v>0.43796232409697933</v>
      </c>
    </row>
    <row r="3" spans="1:18" x14ac:dyDescent="0.2">
      <c r="A3" s="5" t="s">
        <v>17</v>
      </c>
      <c r="B3" s="2">
        <v>2</v>
      </c>
      <c r="C3" s="1" t="s">
        <v>12</v>
      </c>
      <c r="D3" s="4">
        <v>28108389</v>
      </c>
      <c r="E3" s="4"/>
      <c r="F3" s="4">
        <v>12516972</v>
      </c>
      <c r="G3" s="4"/>
      <c r="H3" s="3">
        <f>F3/D3</f>
        <v>0.44531089988828604</v>
      </c>
      <c r="I3" s="4">
        <v>3961886</v>
      </c>
      <c r="J3" s="4">
        <v>4295123</v>
      </c>
      <c r="K3" s="4">
        <v>4120522</v>
      </c>
      <c r="L3" s="4">
        <f t="shared" si="0"/>
        <v>139441</v>
      </c>
      <c r="M3" s="3">
        <f t="shared" ref="M3:M7" si="2">I3/($I3+$J3+$K3)</f>
        <v>0.32008693817854306</v>
      </c>
      <c r="N3" s="3">
        <f t="shared" si="1"/>
        <v>0.34700967422339724</v>
      </c>
      <c r="O3" s="3">
        <f t="shared" si="1"/>
        <v>0.33290338759805976</v>
      </c>
      <c r="P3" s="26">
        <v>581.38400000000001</v>
      </c>
      <c r="Q3" s="23">
        <f t="shared" ref="Q3:Q7" si="3">P3/D3*1000000*60</f>
        <v>1241.0188289339526</v>
      </c>
      <c r="R3" s="3">
        <f t="shared" ref="R3:R7" si="4">(I3+J3+K3)/D3</f>
        <v>0.44035006773244811</v>
      </c>
    </row>
    <row r="4" spans="1:18" x14ac:dyDescent="0.2">
      <c r="A4" s="5" t="s">
        <v>18</v>
      </c>
      <c r="B4" s="2">
        <v>3</v>
      </c>
      <c r="C4" s="1" t="s">
        <v>12</v>
      </c>
      <c r="D4" s="4">
        <v>19835132</v>
      </c>
      <c r="E4" s="4"/>
      <c r="F4" s="4">
        <v>9154479</v>
      </c>
      <c r="G4" s="4"/>
      <c r="H4" s="3">
        <f t="shared" ref="H4:H6" si="5">F4/D4</f>
        <v>0.46152851415357354</v>
      </c>
      <c r="I4" s="4">
        <v>2931259</v>
      </c>
      <c r="J4" s="4">
        <v>3123629</v>
      </c>
      <c r="K4" s="4">
        <v>3000777</v>
      </c>
      <c r="L4" s="4">
        <f t="shared" si="0"/>
        <v>98814</v>
      </c>
      <c r="M4" s="3">
        <f t="shared" si="2"/>
        <v>0.32369340076073927</v>
      </c>
      <c r="N4" s="3">
        <f t="shared" si="1"/>
        <v>0.34493645690294417</v>
      </c>
      <c r="O4" s="3">
        <f t="shared" si="1"/>
        <v>0.33137014233631656</v>
      </c>
      <c r="P4" s="26">
        <v>431.46600000000001</v>
      </c>
      <c r="Q4" s="23">
        <f t="shared" si="3"/>
        <v>1305.1569306420545</v>
      </c>
      <c r="R4" s="3">
        <f t="shared" si="4"/>
        <v>0.45654674745799523</v>
      </c>
    </row>
    <row r="5" spans="1:18" x14ac:dyDescent="0.2">
      <c r="A5" s="5" t="s">
        <v>19</v>
      </c>
      <c r="B5" s="2">
        <v>1</v>
      </c>
      <c r="C5" s="1" t="s">
        <v>13</v>
      </c>
      <c r="D5" s="4">
        <v>28524364</v>
      </c>
      <c r="E5" s="4"/>
      <c r="F5" s="4">
        <v>12774458</v>
      </c>
      <c r="G5" s="4"/>
      <c r="H5" s="3">
        <f t="shared" si="5"/>
        <v>0.44784374508753289</v>
      </c>
      <c r="I5" s="4">
        <v>4047214</v>
      </c>
      <c r="J5" s="4">
        <v>4396136</v>
      </c>
      <c r="K5" s="4">
        <v>4187207</v>
      </c>
      <c r="L5" s="4">
        <f t="shared" si="0"/>
        <v>143901</v>
      </c>
      <c r="M5" s="3">
        <f t="shared" si="2"/>
        <v>0.32043036581838791</v>
      </c>
      <c r="N5" s="3">
        <f t="shared" si="1"/>
        <v>0.34805559248099666</v>
      </c>
      <c r="O5" s="3">
        <f t="shared" si="1"/>
        <v>0.33151404170061544</v>
      </c>
      <c r="P5" s="26">
        <v>711.58</v>
      </c>
      <c r="Q5" s="23">
        <f t="shared" si="3"/>
        <v>1496.7835917393286</v>
      </c>
      <c r="R5" s="3">
        <f t="shared" si="4"/>
        <v>0.4427988999158754</v>
      </c>
    </row>
    <row r="6" spans="1:18" x14ac:dyDescent="0.2">
      <c r="A6" s="5" t="s">
        <v>20</v>
      </c>
      <c r="B6" s="2">
        <v>2</v>
      </c>
      <c r="C6" s="1" t="s">
        <v>13</v>
      </c>
      <c r="D6" s="4">
        <v>37488386</v>
      </c>
      <c r="E6" s="4"/>
      <c r="F6" s="4">
        <v>16758757</v>
      </c>
      <c r="G6" s="4"/>
      <c r="H6" s="3">
        <f t="shared" si="5"/>
        <v>0.44703863751296202</v>
      </c>
      <c r="I6" s="4">
        <v>5370663</v>
      </c>
      <c r="J6" s="4">
        <v>5749047</v>
      </c>
      <c r="K6" s="4">
        <v>5466085</v>
      </c>
      <c r="L6" s="4">
        <f t="shared" si="0"/>
        <v>172962</v>
      </c>
      <c r="M6" s="3">
        <f t="shared" si="2"/>
        <v>0.32381100815486985</v>
      </c>
      <c r="N6" s="3">
        <f t="shared" si="1"/>
        <v>0.34662474726113518</v>
      </c>
      <c r="O6" s="3">
        <f t="shared" si="1"/>
        <v>0.32956424458399491</v>
      </c>
      <c r="P6" s="26">
        <v>678.99599999999998</v>
      </c>
      <c r="Q6" s="23">
        <f t="shared" si="3"/>
        <v>1086.7301675777665</v>
      </c>
      <c r="R6" s="3">
        <f t="shared" si="4"/>
        <v>0.44242488860416662</v>
      </c>
    </row>
    <row r="7" spans="1:18" x14ac:dyDescent="0.2">
      <c r="A7" s="9" t="s">
        <v>21</v>
      </c>
      <c r="B7" s="10">
        <v>3</v>
      </c>
      <c r="C7" s="11" t="s">
        <v>13</v>
      </c>
      <c r="D7" s="12">
        <v>34464937</v>
      </c>
      <c r="E7" s="7"/>
      <c r="F7" s="12">
        <v>16352411</v>
      </c>
      <c r="G7" s="4"/>
      <c r="H7" s="3">
        <f>F7/D7</f>
        <v>0.47446513539252949</v>
      </c>
      <c r="I7" s="4">
        <v>5174075</v>
      </c>
      <c r="J7" s="4">
        <v>5548828</v>
      </c>
      <c r="K7" s="4">
        <v>5445116</v>
      </c>
      <c r="L7" s="4">
        <f t="shared" si="0"/>
        <v>184392</v>
      </c>
      <c r="M7" s="3">
        <f t="shared" si="2"/>
        <v>0.32001910685532964</v>
      </c>
      <c r="N7" s="3">
        <f t="shared" si="1"/>
        <v>0.34319776591059176</v>
      </c>
      <c r="O7" s="3">
        <f t="shared" si="1"/>
        <v>0.33678312723407861</v>
      </c>
      <c r="P7" s="27">
        <v>700.13599999999997</v>
      </c>
      <c r="Q7" s="23">
        <f t="shared" si="3"/>
        <v>1218.8665831595745</v>
      </c>
      <c r="R7" s="3">
        <f t="shared" si="4"/>
        <v>0.46911500229929332</v>
      </c>
    </row>
    <row r="8" spans="1:18" x14ac:dyDescent="0.2">
      <c r="A8" s="14"/>
      <c r="B8" s="14"/>
      <c r="C8" s="14" t="s">
        <v>8</v>
      </c>
      <c r="D8" s="19"/>
      <c r="E8" s="19"/>
      <c r="F8" s="19"/>
      <c r="G8" s="19"/>
      <c r="H8" s="17"/>
      <c r="I8" s="19"/>
      <c r="J8" s="19"/>
      <c r="K8" s="19"/>
      <c r="L8" s="19"/>
      <c r="M8" s="17">
        <f t="shared" ref="M8:R8" si="6">AVERAGE(M2:M7)</f>
        <v>0.32077414927655656</v>
      </c>
      <c r="N8" s="17">
        <f t="shared" si="6"/>
        <v>0.34586023951155448</v>
      </c>
      <c r="O8" s="17">
        <f t="shared" si="6"/>
        <v>0.33336561121188896</v>
      </c>
      <c r="P8" s="42">
        <f t="shared" si="6"/>
        <v>660.15616666666665</v>
      </c>
      <c r="Q8" s="42">
        <f t="shared" si="6"/>
        <v>1331.586692246706</v>
      </c>
      <c r="R8" s="17">
        <f t="shared" si="6"/>
        <v>0.44819965501779296</v>
      </c>
    </row>
    <row r="9" spans="1:18" x14ac:dyDescent="0.2">
      <c r="A9" s="9"/>
      <c r="B9" s="9"/>
      <c r="C9" s="9" t="s">
        <v>9</v>
      </c>
      <c r="D9" s="20"/>
      <c r="E9" s="20"/>
      <c r="F9" s="20"/>
      <c r="G9" s="20"/>
      <c r="H9" s="13"/>
      <c r="I9" s="20"/>
      <c r="J9" s="20"/>
      <c r="K9" s="20"/>
      <c r="L9" s="20"/>
      <c r="M9" s="13">
        <f t="shared" ref="M9:R9" si="7">STDEV(M2:M7)</f>
        <v>2.6942378636229725E-3</v>
      </c>
      <c r="N9" s="13">
        <f t="shared" si="7"/>
        <v>1.7286385930668671E-3</v>
      </c>
      <c r="O9" s="13">
        <f t="shared" si="7"/>
        <v>3.3400289308741686E-3</v>
      </c>
      <c r="P9" s="43">
        <f t="shared" si="7"/>
        <v>142.82664444761971</v>
      </c>
      <c r="Q9" s="43">
        <f t="shared" si="7"/>
        <v>202.27010496105348</v>
      </c>
      <c r="R9" s="13">
        <f t="shared" si="7"/>
        <v>1.2133101432415175E-2</v>
      </c>
    </row>
    <row r="10" spans="1:18" x14ac:dyDescent="0.2">
      <c r="A10" s="48" t="s">
        <v>47</v>
      </c>
      <c r="R10" t="s">
        <v>46</v>
      </c>
    </row>
    <row r="16" spans="1:18" x14ac:dyDescent="0.2">
      <c r="E16" s="49"/>
      <c r="F16" s="49"/>
      <c r="G16" s="47"/>
      <c r="H16" s="47"/>
    </row>
    <row r="17" spans="5:8" x14ac:dyDescent="0.2">
      <c r="E17" s="49"/>
      <c r="F17" s="49"/>
      <c r="G17" s="47"/>
      <c r="H17" s="47"/>
    </row>
    <row r="18" spans="5:8" x14ac:dyDescent="0.2">
      <c r="E18" s="49"/>
      <c r="F18" s="49"/>
      <c r="G18" s="2"/>
      <c r="H18" s="47"/>
    </row>
    <row r="19" spans="5:8" x14ac:dyDescent="0.2">
      <c r="E19" s="49"/>
      <c r="F19" s="49"/>
      <c r="G19" s="2"/>
      <c r="H19" s="47"/>
    </row>
    <row r="20" spans="5:8" x14ac:dyDescent="0.2">
      <c r="E20" s="49"/>
      <c r="F20" s="49"/>
      <c r="G20" s="2"/>
      <c r="H20" s="47"/>
    </row>
    <row r="21" spans="5:8" x14ac:dyDescent="0.2">
      <c r="E21" s="49"/>
      <c r="F21" s="49"/>
      <c r="G21" s="2"/>
      <c r="H21" s="47"/>
    </row>
    <row r="22" spans="5:8" x14ac:dyDescent="0.2">
      <c r="E22" s="49"/>
      <c r="F22" s="49"/>
      <c r="G22" s="2"/>
    </row>
    <row r="23" spans="5:8" x14ac:dyDescent="0.2">
      <c r="E23" s="49"/>
      <c r="F23" s="49"/>
      <c r="G23" s="2"/>
    </row>
    <row r="24" spans="5:8" x14ac:dyDescent="0.2">
      <c r="G24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E6A1-0D97-9640-86A6-1F46B9A691B7}">
  <dimension ref="A1:T25"/>
  <sheetViews>
    <sheetView topLeftCell="I1" workbookViewId="0">
      <selection activeCell="L9" sqref="L9"/>
    </sheetView>
  </sheetViews>
  <sheetFormatPr baseColWidth="10" defaultRowHeight="16" x14ac:dyDescent="0.2"/>
  <cols>
    <col min="1" max="1" width="31.83203125" customWidth="1"/>
    <col min="4" max="4" width="12.6640625" customWidth="1"/>
    <col min="5" max="12" width="16.1640625" customWidth="1"/>
    <col min="13" max="15" width="11.6640625" customWidth="1"/>
    <col min="20" max="20" width="19.83203125" customWidth="1"/>
  </cols>
  <sheetData>
    <row r="1" spans="1:20" x14ac:dyDescent="0.2">
      <c r="A1" s="9" t="s">
        <v>0</v>
      </c>
      <c r="B1" s="9" t="s">
        <v>1</v>
      </c>
      <c r="C1" s="9" t="s">
        <v>11</v>
      </c>
      <c r="D1" s="9" t="s">
        <v>3</v>
      </c>
      <c r="E1" s="31" t="s">
        <v>4</v>
      </c>
      <c r="F1" s="24" t="s">
        <v>39</v>
      </c>
      <c r="G1" s="36" t="s">
        <v>27</v>
      </c>
      <c r="H1" s="24" t="s">
        <v>5</v>
      </c>
      <c r="I1" s="24" t="s">
        <v>40</v>
      </c>
      <c r="J1" s="24" t="s">
        <v>28</v>
      </c>
      <c r="K1" s="31" t="s">
        <v>6</v>
      </c>
      <c r="L1" s="24" t="s">
        <v>41</v>
      </c>
      <c r="M1" s="36" t="s">
        <v>29</v>
      </c>
      <c r="N1" s="24" t="s">
        <v>30</v>
      </c>
      <c r="O1" s="24" t="s">
        <v>31</v>
      </c>
      <c r="P1" s="24" t="s">
        <v>32</v>
      </c>
      <c r="Q1" s="24" t="s">
        <v>33</v>
      </c>
      <c r="R1" s="24" t="s">
        <v>34</v>
      </c>
      <c r="S1" s="24" t="s">
        <v>35</v>
      </c>
      <c r="T1" s="31" t="s">
        <v>67</v>
      </c>
    </row>
    <row r="2" spans="1:20" x14ac:dyDescent="0.2">
      <c r="A2" s="14" t="s">
        <v>16</v>
      </c>
      <c r="B2" s="2">
        <v>1</v>
      </c>
      <c r="C2" s="1" t="s">
        <v>12</v>
      </c>
      <c r="D2" s="4">
        <v>31348950</v>
      </c>
      <c r="E2" s="32">
        <v>13983062</v>
      </c>
      <c r="F2" s="7">
        <v>1993261</v>
      </c>
      <c r="G2" s="37">
        <f>D2-E2-F2</f>
        <v>15372627</v>
      </c>
      <c r="H2" s="4">
        <v>14241451</v>
      </c>
      <c r="I2" s="4">
        <v>3451174</v>
      </c>
      <c r="J2" s="4">
        <f>D2-H2-I2</f>
        <v>13656325</v>
      </c>
      <c r="K2" s="32">
        <v>14800394</v>
      </c>
      <c r="L2" s="7">
        <v>3288657</v>
      </c>
      <c r="M2" s="37">
        <f>D2-K2-L2</f>
        <v>13259899</v>
      </c>
      <c r="N2" s="4">
        <v>2858851</v>
      </c>
      <c r="O2" s="4">
        <v>2981834</v>
      </c>
      <c r="P2" s="4">
        <v>2913533</v>
      </c>
      <c r="Q2" s="3">
        <f>N2/(N2+O2+P2)</f>
        <v>0.32656840393967801</v>
      </c>
      <c r="R2" s="3">
        <f>O2/(N2+O2+P2)</f>
        <v>0.34061683179468455</v>
      </c>
      <c r="S2" s="3">
        <f>P2/(N2+O2+P2)</f>
        <v>0.33281476426563744</v>
      </c>
      <c r="T2" s="44">
        <f>(N2+O2+P2)/D2</f>
        <v>0.27925075640491948</v>
      </c>
    </row>
    <row r="3" spans="1:20" x14ac:dyDescent="0.2">
      <c r="A3" s="5" t="s">
        <v>17</v>
      </c>
      <c r="B3" s="2">
        <v>2</v>
      </c>
      <c r="C3" s="1" t="s">
        <v>12</v>
      </c>
      <c r="D3" s="4">
        <v>28108389</v>
      </c>
      <c r="E3" s="32">
        <v>12571477</v>
      </c>
      <c r="F3" s="7">
        <v>1208597</v>
      </c>
      <c r="G3" s="37">
        <f t="shared" ref="G3:G7" si="0">D3-E3-F3</f>
        <v>14328315</v>
      </c>
      <c r="H3" s="4">
        <v>12736434</v>
      </c>
      <c r="I3" s="4">
        <v>1874426</v>
      </c>
      <c r="J3" s="4">
        <f t="shared" ref="J3:J7" si="1">D3-H3-I3</f>
        <v>13497529</v>
      </c>
      <c r="K3" s="32">
        <v>12930796</v>
      </c>
      <c r="L3" s="7">
        <v>1934880</v>
      </c>
      <c r="M3" s="37">
        <f t="shared" ref="M3:M7" si="2">D3-K3-L3</f>
        <v>13242713</v>
      </c>
      <c r="N3" s="4">
        <v>2635405</v>
      </c>
      <c r="O3" s="4">
        <v>2761374</v>
      </c>
      <c r="P3" s="4">
        <v>2645673</v>
      </c>
      <c r="Q3" s="3">
        <f t="shared" ref="Q3:Q7" si="3">N3/(N3+O3+P3)</f>
        <v>0.32768675523335422</v>
      </c>
      <c r="R3" s="3">
        <f t="shared" ref="R3:R7" si="4">O3/(N3+O3+P3)</f>
        <v>0.34334976447481441</v>
      </c>
      <c r="S3" s="3">
        <f t="shared" ref="S3:S7" si="5">P3/(N3+O3+P3)</f>
        <v>0.32896348029183142</v>
      </c>
      <c r="T3" s="44">
        <f t="shared" ref="T3:T7" si="6">(N3+O3+P3)/D3</f>
        <v>0.28612283685130441</v>
      </c>
    </row>
    <row r="4" spans="1:20" x14ac:dyDescent="0.2">
      <c r="A4" s="5" t="s">
        <v>18</v>
      </c>
      <c r="B4" s="2">
        <v>3</v>
      </c>
      <c r="C4" s="1" t="s">
        <v>12</v>
      </c>
      <c r="D4" s="4">
        <v>19835132</v>
      </c>
      <c r="E4" s="32">
        <v>9303580</v>
      </c>
      <c r="F4" s="7">
        <v>876205</v>
      </c>
      <c r="G4" s="37">
        <f t="shared" si="0"/>
        <v>9655347</v>
      </c>
      <c r="H4" s="4">
        <v>9409494</v>
      </c>
      <c r="I4" s="4">
        <v>1367887</v>
      </c>
      <c r="J4" s="4">
        <f t="shared" si="1"/>
        <v>9057751</v>
      </c>
      <c r="K4" s="32">
        <v>9573787</v>
      </c>
      <c r="L4" s="7">
        <v>1382371</v>
      </c>
      <c r="M4" s="37">
        <f t="shared" si="2"/>
        <v>8878974</v>
      </c>
      <c r="N4" s="4">
        <v>1999458</v>
      </c>
      <c r="O4" s="4">
        <v>2074140</v>
      </c>
      <c r="P4" s="4">
        <v>1981704</v>
      </c>
      <c r="Q4" s="3">
        <f t="shared" si="3"/>
        <v>0.33019955074082186</v>
      </c>
      <c r="R4" s="3">
        <f t="shared" si="4"/>
        <v>0.34253287449577247</v>
      </c>
      <c r="S4" s="3">
        <f t="shared" si="5"/>
        <v>0.32726757476340568</v>
      </c>
      <c r="T4" s="44">
        <f t="shared" si="6"/>
        <v>0.30528165882636932</v>
      </c>
    </row>
    <row r="5" spans="1:20" x14ac:dyDescent="0.2">
      <c r="A5" s="5" t="s">
        <v>19</v>
      </c>
      <c r="B5" s="2">
        <v>1</v>
      </c>
      <c r="C5" s="1" t="s">
        <v>13</v>
      </c>
      <c r="D5" s="4">
        <v>28524364</v>
      </c>
      <c r="E5" s="32">
        <v>12301981</v>
      </c>
      <c r="F5" s="7">
        <v>991914</v>
      </c>
      <c r="G5" s="37">
        <f t="shared" si="0"/>
        <v>15230469</v>
      </c>
      <c r="H5" s="4">
        <v>12429330</v>
      </c>
      <c r="I5" s="4">
        <v>1707077</v>
      </c>
      <c r="J5" s="4">
        <f t="shared" si="1"/>
        <v>14387957</v>
      </c>
      <c r="K5" s="32">
        <v>12757287</v>
      </c>
      <c r="L5" s="7">
        <v>1528069</v>
      </c>
      <c r="M5" s="37">
        <f t="shared" si="2"/>
        <v>14239008</v>
      </c>
      <c r="N5" s="4">
        <v>2578365</v>
      </c>
      <c r="O5" s="4">
        <v>2717697</v>
      </c>
      <c r="P5" s="4">
        <v>2656568</v>
      </c>
      <c r="Q5" s="3">
        <f t="shared" si="3"/>
        <v>0.3242153853505067</v>
      </c>
      <c r="R5" s="3">
        <f t="shared" si="4"/>
        <v>0.34173562708185845</v>
      </c>
      <c r="S5" s="3">
        <f t="shared" si="5"/>
        <v>0.33404898756763485</v>
      </c>
      <c r="T5" s="44">
        <f t="shared" si="6"/>
        <v>0.27880130824301641</v>
      </c>
    </row>
    <row r="6" spans="1:20" x14ac:dyDescent="0.2">
      <c r="A6" s="5" t="s">
        <v>20</v>
      </c>
      <c r="B6" s="2">
        <v>2</v>
      </c>
      <c r="C6" s="1" t="s">
        <v>13</v>
      </c>
      <c r="D6" s="4">
        <v>37488386</v>
      </c>
      <c r="E6" s="32">
        <v>16523986</v>
      </c>
      <c r="F6" s="7">
        <v>973969</v>
      </c>
      <c r="G6" s="37">
        <f t="shared" si="0"/>
        <v>19990431</v>
      </c>
      <c r="H6" s="4">
        <v>16593815</v>
      </c>
      <c r="I6" s="4">
        <v>1519849</v>
      </c>
      <c r="J6" s="4">
        <f t="shared" si="1"/>
        <v>19374722</v>
      </c>
      <c r="K6" s="32">
        <v>16885627</v>
      </c>
      <c r="L6" s="7">
        <v>1432817</v>
      </c>
      <c r="M6" s="37">
        <f t="shared" si="2"/>
        <v>19169942</v>
      </c>
      <c r="N6" s="4">
        <v>3612246</v>
      </c>
      <c r="O6" s="4">
        <v>3807891</v>
      </c>
      <c r="P6" s="4">
        <v>3641382</v>
      </c>
      <c r="Q6" s="3">
        <f t="shared" si="3"/>
        <v>0.32655967051179863</v>
      </c>
      <c r="R6" s="3">
        <f t="shared" si="4"/>
        <v>0.34424666268710474</v>
      </c>
      <c r="S6" s="3">
        <f t="shared" si="5"/>
        <v>0.32919366680109668</v>
      </c>
      <c r="T6" s="44">
        <f t="shared" si="6"/>
        <v>0.2950652236668711</v>
      </c>
    </row>
    <row r="7" spans="1:20" x14ac:dyDescent="0.2">
      <c r="A7" s="9" t="s">
        <v>21</v>
      </c>
      <c r="B7" s="10">
        <v>3</v>
      </c>
      <c r="C7" s="11" t="s">
        <v>13</v>
      </c>
      <c r="D7" s="12">
        <v>34464937</v>
      </c>
      <c r="E7" s="33">
        <v>16169807</v>
      </c>
      <c r="F7" s="12">
        <v>1431695</v>
      </c>
      <c r="G7" s="38">
        <f t="shared" si="0"/>
        <v>16863435</v>
      </c>
      <c r="H7" s="12">
        <v>16355683</v>
      </c>
      <c r="I7" s="12">
        <v>2201825</v>
      </c>
      <c r="J7" s="12">
        <f t="shared" si="1"/>
        <v>15907429</v>
      </c>
      <c r="K7" s="33">
        <v>16627840</v>
      </c>
      <c r="L7" s="12">
        <v>2297242</v>
      </c>
      <c r="M7" s="38">
        <f t="shared" si="2"/>
        <v>15539855</v>
      </c>
      <c r="N7" s="4">
        <v>3496343</v>
      </c>
      <c r="O7" s="4">
        <v>3650651</v>
      </c>
      <c r="P7" s="4">
        <v>3554552</v>
      </c>
      <c r="Q7" s="3">
        <f t="shared" si="3"/>
        <v>0.32671382247013658</v>
      </c>
      <c r="R7" s="3">
        <f t="shared" si="4"/>
        <v>0.34113304750547258</v>
      </c>
      <c r="S7" s="3">
        <f t="shared" si="5"/>
        <v>0.33215313002439084</v>
      </c>
      <c r="T7" s="44">
        <f t="shared" si="6"/>
        <v>0.31050531152864141</v>
      </c>
    </row>
    <row r="8" spans="1:20" x14ac:dyDescent="0.2">
      <c r="A8" s="14"/>
      <c r="B8" s="14"/>
      <c r="C8" s="14" t="s">
        <v>8</v>
      </c>
      <c r="D8" s="19"/>
      <c r="E8" s="34"/>
      <c r="F8" s="5"/>
      <c r="G8" s="39"/>
      <c r="H8" s="5"/>
      <c r="I8" s="5"/>
      <c r="J8" s="5"/>
      <c r="K8" s="34"/>
      <c r="L8" s="5"/>
      <c r="M8" s="39"/>
      <c r="N8" s="14"/>
      <c r="O8" s="14"/>
      <c r="P8" s="14"/>
      <c r="Q8" s="41">
        <f>AVERAGE(Q2:Q7)</f>
        <v>0.3269905980410493</v>
      </c>
      <c r="R8" s="41">
        <f t="shared" ref="R8:S8" si="7">AVERAGE(R2:R7)</f>
        <v>0.34226913467328451</v>
      </c>
      <c r="S8" s="41">
        <f t="shared" si="7"/>
        <v>0.33074026728566613</v>
      </c>
      <c r="T8" s="45">
        <f t="shared" ref="T8" si="8">AVERAGE(T2:T7)</f>
        <v>0.29250451592018706</v>
      </c>
    </row>
    <row r="9" spans="1:20" x14ac:dyDescent="0.2">
      <c r="A9" s="9"/>
      <c r="B9" s="9"/>
      <c r="C9" s="9" t="s">
        <v>9</v>
      </c>
      <c r="D9" s="20"/>
      <c r="E9" s="35"/>
      <c r="F9" s="9"/>
      <c r="G9" s="40"/>
      <c r="H9" s="9"/>
      <c r="I9" s="9"/>
      <c r="J9" s="9"/>
      <c r="K9" s="35"/>
      <c r="L9" s="9"/>
      <c r="M9" s="40"/>
      <c r="N9" s="9"/>
      <c r="O9" s="9"/>
      <c r="P9" s="9"/>
      <c r="Q9" s="13">
        <f>STDEV(Q2:Q7)</f>
        <v>1.945475204410326E-3</v>
      </c>
      <c r="R9" s="13">
        <f t="shared" ref="R9:S9" si="9">STDEV(R2:R7)</f>
        <v>1.3750175062863909E-3</v>
      </c>
      <c r="S9" s="13">
        <f t="shared" si="9"/>
        <v>2.6402987398092743E-3</v>
      </c>
      <c r="T9" s="46">
        <f t="shared" ref="T9" si="10">STDEV(T2:T7)</f>
        <v>1.3401545561738098E-2</v>
      </c>
    </row>
    <row r="10" spans="1:20" x14ac:dyDescent="0.2">
      <c r="T10" t="s">
        <v>46</v>
      </c>
    </row>
    <row r="12" spans="1:20" x14ac:dyDescent="0.2">
      <c r="A12" s="25" t="s">
        <v>36</v>
      </c>
    </row>
    <row r="13" spans="1:20" x14ac:dyDescent="0.2">
      <c r="A13" s="9" t="s">
        <v>0</v>
      </c>
      <c r="B13" s="9" t="s">
        <v>1</v>
      </c>
      <c r="C13" s="9" t="s">
        <v>11</v>
      </c>
      <c r="D13" s="9" t="s">
        <v>3</v>
      </c>
      <c r="E13" s="50" t="s">
        <v>64</v>
      </c>
      <c r="F13" s="51" t="s">
        <v>65</v>
      </c>
      <c r="G13" s="51" t="s">
        <v>66</v>
      </c>
      <c r="H13" s="24" t="s">
        <v>37</v>
      </c>
      <c r="I13" s="24" t="s">
        <v>38</v>
      </c>
      <c r="J13" s="29"/>
      <c r="K13" s="29"/>
      <c r="L13" s="29"/>
      <c r="M13" s="29"/>
    </row>
    <row r="14" spans="1:20" x14ac:dyDescent="0.2">
      <c r="A14" s="14" t="s">
        <v>16</v>
      </c>
      <c r="B14" s="2">
        <v>1</v>
      </c>
      <c r="C14" s="1" t="s">
        <v>12</v>
      </c>
      <c r="D14" s="4">
        <v>31348950</v>
      </c>
      <c r="E14" s="26">
        <v>1736.2729999999999</v>
      </c>
      <c r="F14" s="26">
        <v>20132.678</v>
      </c>
      <c r="G14" s="26">
        <v>1786.001</v>
      </c>
      <c r="H14" s="26">
        <f>SUM(E14:G14)</f>
        <v>23654.952000000001</v>
      </c>
      <c r="I14" s="23">
        <f>(H14/60)/D14*1000000</f>
        <v>12.576153268291284</v>
      </c>
      <c r="J14" s="23"/>
      <c r="K14" s="5"/>
      <c r="L14" s="5"/>
      <c r="M14" s="5"/>
    </row>
    <row r="15" spans="1:20" x14ac:dyDescent="0.2">
      <c r="A15" s="5" t="s">
        <v>17</v>
      </c>
      <c r="B15" s="2">
        <v>2</v>
      </c>
      <c r="C15" s="1" t="s">
        <v>12</v>
      </c>
      <c r="D15" s="4">
        <v>28108389</v>
      </c>
      <c r="E15" s="26">
        <v>1442.1089999999999</v>
      </c>
      <c r="F15" s="26">
        <v>18228.805</v>
      </c>
      <c r="G15" s="26">
        <v>1562.3510000000001</v>
      </c>
      <c r="H15" s="26">
        <f>SUM(E15:G15)</f>
        <v>21233.264999999999</v>
      </c>
      <c r="I15" s="23">
        <f t="shared" ref="I15:I19" si="11">(H15/60)/D15*1000000</f>
        <v>12.590111443242085</v>
      </c>
      <c r="J15" s="23"/>
      <c r="K15" s="5"/>
      <c r="L15" s="5"/>
      <c r="M15" s="5"/>
    </row>
    <row r="16" spans="1:20" x14ac:dyDescent="0.2">
      <c r="A16" s="5" t="s">
        <v>18</v>
      </c>
      <c r="B16" s="2">
        <v>3</v>
      </c>
      <c r="C16" s="1" t="s">
        <v>12</v>
      </c>
      <c r="D16" s="4">
        <v>19835132</v>
      </c>
      <c r="E16" s="26">
        <v>1038.4570000000001</v>
      </c>
      <c r="F16" s="26">
        <v>14996.687</v>
      </c>
      <c r="G16" s="26">
        <v>1149.963</v>
      </c>
      <c r="H16" s="26">
        <f>SUM(E16:G16)</f>
        <v>17185.107</v>
      </c>
      <c r="I16" s="23">
        <f t="shared" si="11"/>
        <v>14.439956840216643</v>
      </c>
      <c r="J16" s="23"/>
      <c r="K16" s="5"/>
      <c r="L16" s="5"/>
      <c r="M16" s="5"/>
    </row>
    <row r="17" spans="1:13" x14ac:dyDescent="0.2">
      <c r="A17" s="5" t="s">
        <v>19</v>
      </c>
      <c r="B17" s="2">
        <v>1</v>
      </c>
      <c r="C17" s="1" t="s">
        <v>13</v>
      </c>
      <c r="D17" s="4">
        <v>28524364</v>
      </c>
      <c r="E17" s="26">
        <v>1519.7329999999999</v>
      </c>
      <c r="F17" s="26">
        <v>19726.473999999998</v>
      </c>
      <c r="G17" s="26">
        <v>1661.778</v>
      </c>
      <c r="H17" s="26">
        <f t="shared" ref="H17:H19" si="12">SUM(E17:G17)</f>
        <v>22907.984999999997</v>
      </c>
      <c r="I17" s="23">
        <f t="shared" si="11"/>
        <v>13.385039890810535</v>
      </c>
      <c r="J17" s="23"/>
      <c r="K17" s="5"/>
      <c r="L17" s="5"/>
      <c r="M17" s="5"/>
    </row>
    <row r="18" spans="1:13" x14ac:dyDescent="0.2">
      <c r="A18" s="5" t="s">
        <v>20</v>
      </c>
      <c r="B18" s="2">
        <v>2</v>
      </c>
      <c r="C18" s="1" t="s">
        <v>13</v>
      </c>
      <c r="D18" s="4">
        <v>37488386</v>
      </c>
      <c r="E18" s="26">
        <v>1942.0409999999999</v>
      </c>
      <c r="F18" s="26">
        <v>23963.277999999998</v>
      </c>
      <c r="G18" s="26">
        <v>2234.2379999999998</v>
      </c>
      <c r="H18" s="26">
        <f t="shared" si="12"/>
        <v>28139.557000000001</v>
      </c>
      <c r="I18" s="23">
        <f t="shared" si="11"/>
        <v>12.51034431481437</v>
      </c>
      <c r="J18" s="23"/>
      <c r="K18" s="5"/>
      <c r="L18" s="5"/>
      <c r="M18" s="5"/>
    </row>
    <row r="19" spans="1:13" x14ac:dyDescent="0.2">
      <c r="A19" s="9" t="s">
        <v>21</v>
      </c>
      <c r="B19" s="10">
        <v>3</v>
      </c>
      <c r="C19" s="11" t="s">
        <v>13</v>
      </c>
      <c r="D19" s="12">
        <v>34464937</v>
      </c>
      <c r="E19" s="27">
        <v>1806.009</v>
      </c>
      <c r="F19" s="27">
        <v>23500.244999999999</v>
      </c>
      <c r="G19" s="27">
        <v>1984.914</v>
      </c>
      <c r="H19" s="27">
        <f t="shared" si="12"/>
        <v>27291.168000000001</v>
      </c>
      <c r="I19" s="28">
        <f t="shared" si="11"/>
        <v>13.197552051233982</v>
      </c>
      <c r="J19" s="30"/>
      <c r="K19" s="5"/>
      <c r="L19" s="5"/>
      <c r="M19" s="5"/>
    </row>
    <row r="20" spans="1:13" x14ac:dyDescent="0.2">
      <c r="A20" s="14"/>
      <c r="B20" s="14"/>
      <c r="C20" s="14" t="s">
        <v>8</v>
      </c>
      <c r="D20" s="19"/>
      <c r="E20" s="5"/>
      <c r="F20" s="5"/>
      <c r="G20" s="5"/>
      <c r="H20" s="5"/>
      <c r="I20" s="30">
        <f>AVERAGE(I14:I19)</f>
        <v>13.116526301434817</v>
      </c>
      <c r="J20" s="30"/>
      <c r="K20" s="5"/>
      <c r="L20" s="5"/>
      <c r="M20" s="5"/>
    </row>
    <row r="21" spans="1:13" x14ac:dyDescent="0.2">
      <c r="A21" s="9"/>
      <c r="B21" s="9"/>
      <c r="C21" s="9" t="s">
        <v>9</v>
      </c>
      <c r="D21" s="20"/>
      <c r="E21" s="9"/>
      <c r="F21" s="9"/>
      <c r="G21" s="9"/>
      <c r="H21" s="9"/>
      <c r="I21" s="28">
        <f>STDEV(I14:I19)</f>
        <v>0.74386898437402693</v>
      </c>
      <c r="J21" s="30"/>
      <c r="K21" s="5"/>
      <c r="L21" s="5"/>
      <c r="M21" s="5"/>
    </row>
    <row r="22" spans="1:13" x14ac:dyDescent="0.2">
      <c r="K22" s="5"/>
      <c r="L22" s="5"/>
      <c r="M22" s="5"/>
    </row>
    <row r="23" spans="1:13" x14ac:dyDescent="0.2">
      <c r="K23" s="5"/>
      <c r="L23" s="5"/>
      <c r="M23" s="5"/>
    </row>
    <row r="24" spans="1:13" x14ac:dyDescent="0.2">
      <c r="K24" s="5"/>
      <c r="L24" s="5"/>
      <c r="M24" s="5"/>
    </row>
    <row r="25" spans="1:13" x14ac:dyDescent="0.2">
      <c r="K25" s="5"/>
      <c r="L25" s="5"/>
      <c r="M25" s="5"/>
    </row>
  </sheetData>
  <pageMargins left="0.7" right="0.7" top="0.75" bottom="0.75" header="0.3" footer="0.3"/>
  <ignoredErrors>
    <ignoredError sqref="H17:H19 H14:H1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10C5-DEDA-5944-A06B-7BB4E891A333}">
  <dimension ref="A1:Q78"/>
  <sheetViews>
    <sheetView workbookViewId="0">
      <selection activeCell="Q3" sqref="Q3:Q8"/>
    </sheetView>
  </sheetViews>
  <sheetFormatPr baseColWidth="10" defaultRowHeight="16" x14ac:dyDescent="0.2"/>
  <cols>
    <col min="8" max="8" width="11.5" bestFit="1" customWidth="1"/>
  </cols>
  <sheetData>
    <row r="1" spans="1:17" x14ac:dyDescent="0.2">
      <c r="A1" t="s">
        <v>49</v>
      </c>
    </row>
    <row r="2" spans="1:17" x14ac:dyDescent="0.2">
      <c r="A2" t="s">
        <v>50</v>
      </c>
      <c r="H2" t="s">
        <v>59</v>
      </c>
      <c r="K2" t="s">
        <v>60</v>
      </c>
      <c r="N2" t="s">
        <v>61</v>
      </c>
      <c r="Q2" t="s">
        <v>62</v>
      </c>
    </row>
    <row r="3" spans="1:17" x14ac:dyDescent="0.2">
      <c r="A3">
        <v>27407286</v>
      </c>
      <c r="F3">
        <v>27407286</v>
      </c>
      <c r="G3">
        <v>199774</v>
      </c>
      <c r="H3" s="4">
        <f>F3/2+G3</f>
        <v>13903417</v>
      </c>
      <c r="I3">
        <v>8564432</v>
      </c>
      <c r="J3">
        <v>64650</v>
      </c>
      <c r="K3" s="4">
        <f>I3/2+J3</f>
        <v>4346866</v>
      </c>
      <c r="L3">
        <v>9347120</v>
      </c>
      <c r="M3">
        <v>67802</v>
      </c>
      <c r="N3" s="4">
        <f>L3/2+M3</f>
        <v>4741362</v>
      </c>
      <c r="O3">
        <v>9153656</v>
      </c>
      <c r="P3">
        <v>64603</v>
      </c>
      <c r="Q3" s="4">
        <f>O3/2+P3</f>
        <v>4641431</v>
      </c>
    </row>
    <row r="4" spans="1:17" x14ac:dyDescent="0.2">
      <c r="A4">
        <v>199774</v>
      </c>
      <c r="F4">
        <v>24629078</v>
      </c>
      <c r="G4">
        <v>202433</v>
      </c>
      <c r="H4" s="4">
        <f t="shared" ref="H4:H8" si="0">F4/2+G4</f>
        <v>12516972</v>
      </c>
      <c r="I4">
        <v>7792682</v>
      </c>
      <c r="J4">
        <v>65545</v>
      </c>
      <c r="K4" s="4">
        <f t="shared" ref="K4:K8" si="1">I4/2+J4</f>
        <v>3961886</v>
      </c>
      <c r="L4">
        <v>8451068</v>
      </c>
      <c r="M4">
        <v>69589</v>
      </c>
      <c r="N4" s="4">
        <f t="shared" ref="N4:N8" si="2">L4/2+M4</f>
        <v>4295123</v>
      </c>
      <c r="O4">
        <v>8111402</v>
      </c>
      <c r="P4">
        <v>64821</v>
      </c>
      <c r="Q4" s="4">
        <f t="shared" ref="Q4:Q8" si="3">O4/2+P4</f>
        <v>4120522</v>
      </c>
    </row>
    <row r="5" spans="1:17" x14ac:dyDescent="0.2">
      <c r="A5" t="s">
        <v>51</v>
      </c>
      <c r="F5">
        <v>18020724</v>
      </c>
      <c r="G5">
        <v>144117</v>
      </c>
      <c r="H5" s="4">
        <f t="shared" si="0"/>
        <v>9154479</v>
      </c>
      <c r="I5">
        <v>5768460</v>
      </c>
      <c r="J5">
        <v>47029</v>
      </c>
      <c r="K5" s="4">
        <f t="shared" si="1"/>
        <v>2931259</v>
      </c>
      <c r="L5">
        <v>6148394</v>
      </c>
      <c r="M5">
        <v>49432</v>
      </c>
      <c r="N5" s="4">
        <f t="shared" si="2"/>
        <v>3123629</v>
      </c>
      <c r="O5">
        <v>5909548</v>
      </c>
      <c r="P5">
        <v>46003</v>
      </c>
      <c r="Q5" s="4">
        <f t="shared" si="3"/>
        <v>3000777</v>
      </c>
    </row>
    <row r="6" spans="1:17" x14ac:dyDescent="0.2">
      <c r="A6">
        <v>8564432</v>
      </c>
      <c r="F6">
        <v>25227486</v>
      </c>
      <c r="G6">
        <v>160715</v>
      </c>
      <c r="H6" s="4">
        <f t="shared" si="0"/>
        <v>12774458</v>
      </c>
      <c r="I6">
        <v>7990190</v>
      </c>
      <c r="J6">
        <v>52119</v>
      </c>
      <c r="K6" s="4">
        <f t="shared" si="1"/>
        <v>4047214</v>
      </c>
      <c r="L6">
        <v>8682364</v>
      </c>
      <c r="M6">
        <v>54954</v>
      </c>
      <c r="N6" s="4">
        <f t="shared" si="2"/>
        <v>4396136</v>
      </c>
      <c r="O6">
        <v>8270912</v>
      </c>
      <c r="P6">
        <v>51751</v>
      </c>
      <c r="Q6" s="4">
        <f t="shared" si="3"/>
        <v>4187207</v>
      </c>
    </row>
    <row r="7" spans="1:17" x14ac:dyDescent="0.2">
      <c r="A7">
        <v>64650</v>
      </c>
      <c r="F7">
        <v>32981640</v>
      </c>
      <c r="G7">
        <v>267937</v>
      </c>
      <c r="H7" s="4">
        <f t="shared" si="0"/>
        <v>16758757</v>
      </c>
      <c r="I7">
        <v>10567204</v>
      </c>
      <c r="J7">
        <v>87061</v>
      </c>
      <c r="K7" s="4">
        <f t="shared" si="1"/>
        <v>5370663</v>
      </c>
      <c r="L7">
        <v>11314588</v>
      </c>
      <c r="M7">
        <v>91753</v>
      </c>
      <c r="N7" s="4">
        <f t="shared" si="2"/>
        <v>5749047</v>
      </c>
      <c r="O7">
        <v>10759780</v>
      </c>
      <c r="P7">
        <v>86195</v>
      </c>
      <c r="Q7" s="4">
        <f t="shared" si="3"/>
        <v>5466085</v>
      </c>
    </row>
    <row r="8" spans="1:17" x14ac:dyDescent="0.2">
      <c r="A8" t="s">
        <v>52</v>
      </c>
      <c r="F8">
        <v>32299428</v>
      </c>
      <c r="G8">
        <v>202697</v>
      </c>
      <c r="H8" s="4">
        <f t="shared" si="0"/>
        <v>16352411</v>
      </c>
      <c r="I8">
        <v>10216736</v>
      </c>
      <c r="J8">
        <v>65707</v>
      </c>
      <c r="K8" s="4">
        <f t="shared" si="1"/>
        <v>5174075</v>
      </c>
      <c r="L8">
        <v>10960450</v>
      </c>
      <c r="M8">
        <v>68603</v>
      </c>
      <c r="N8" s="4">
        <f t="shared" si="2"/>
        <v>5548828</v>
      </c>
      <c r="O8">
        <v>10758284</v>
      </c>
      <c r="P8">
        <v>65974</v>
      </c>
      <c r="Q8" s="4">
        <f t="shared" si="3"/>
        <v>5445116</v>
      </c>
    </row>
    <row r="9" spans="1:17" x14ac:dyDescent="0.2">
      <c r="A9">
        <v>9347120</v>
      </c>
    </row>
    <row r="10" spans="1:17" x14ac:dyDescent="0.2">
      <c r="A10">
        <v>67802</v>
      </c>
    </row>
    <row r="11" spans="1:17" x14ac:dyDescent="0.2">
      <c r="A11" t="s">
        <v>53</v>
      </c>
    </row>
    <row r="12" spans="1:17" x14ac:dyDescent="0.2">
      <c r="A12">
        <v>9153656</v>
      </c>
    </row>
    <row r="13" spans="1:17" x14ac:dyDescent="0.2">
      <c r="A13">
        <v>64603</v>
      </c>
    </row>
    <row r="14" spans="1:17" x14ac:dyDescent="0.2">
      <c r="A14" t="s">
        <v>54</v>
      </c>
    </row>
    <row r="15" spans="1:17" x14ac:dyDescent="0.2">
      <c r="A15" t="s">
        <v>50</v>
      </c>
    </row>
    <row r="16" spans="1:17" x14ac:dyDescent="0.2">
      <c r="A16">
        <v>24629078</v>
      </c>
    </row>
    <row r="17" spans="1:1" x14ac:dyDescent="0.2">
      <c r="A17">
        <v>202433</v>
      </c>
    </row>
    <row r="18" spans="1:1" x14ac:dyDescent="0.2">
      <c r="A18" t="s">
        <v>51</v>
      </c>
    </row>
    <row r="19" spans="1:1" x14ac:dyDescent="0.2">
      <c r="A19">
        <v>7792682</v>
      </c>
    </row>
    <row r="20" spans="1:1" x14ac:dyDescent="0.2">
      <c r="A20">
        <v>65545</v>
      </c>
    </row>
    <row r="21" spans="1:1" x14ac:dyDescent="0.2">
      <c r="A21" t="s">
        <v>52</v>
      </c>
    </row>
    <row r="22" spans="1:1" x14ac:dyDescent="0.2">
      <c r="A22">
        <v>8451068</v>
      </c>
    </row>
    <row r="23" spans="1:1" x14ac:dyDescent="0.2">
      <c r="A23">
        <v>69589</v>
      </c>
    </row>
    <row r="24" spans="1:1" x14ac:dyDescent="0.2">
      <c r="A24" t="s">
        <v>53</v>
      </c>
    </row>
    <row r="25" spans="1:1" x14ac:dyDescent="0.2">
      <c r="A25">
        <v>8111402</v>
      </c>
    </row>
    <row r="26" spans="1:1" x14ac:dyDescent="0.2">
      <c r="A26">
        <v>64821</v>
      </c>
    </row>
    <row r="27" spans="1:1" x14ac:dyDescent="0.2">
      <c r="A27" t="s">
        <v>55</v>
      </c>
    </row>
    <row r="28" spans="1:1" x14ac:dyDescent="0.2">
      <c r="A28" t="s">
        <v>50</v>
      </c>
    </row>
    <row r="29" spans="1:1" x14ac:dyDescent="0.2">
      <c r="A29">
        <v>18020724</v>
      </c>
    </row>
    <row r="30" spans="1:1" x14ac:dyDescent="0.2">
      <c r="A30">
        <v>144117</v>
      </c>
    </row>
    <row r="31" spans="1:1" x14ac:dyDescent="0.2">
      <c r="A31" t="s">
        <v>51</v>
      </c>
    </row>
    <row r="32" spans="1:1" x14ac:dyDescent="0.2">
      <c r="A32">
        <v>5768460</v>
      </c>
    </row>
    <row r="33" spans="1:16" x14ac:dyDescent="0.2">
      <c r="A33">
        <v>47029</v>
      </c>
    </row>
    <row r="34" spans="1:16" x14ac:dyDescent="0.2">
      <c r="A34" t="s">
        <v>52</v>
      </c>
    </row>
    <row r="35" spans="1:16" x14ac:dyDescent="0.2">
      <c r="A35">
        <v>6148394</v>
      </c>
    </row>
    <row r="36" spans="1:16" x14ac:dyDescent="0.2">
      <c r="A36">
        <v>49432</v>
      </c>
    </row>
    <row r="37" spans="1:16" x14ac:dyDescent="0.2">
      <c r="A37" t="s">
        <v>53</v>
      </c>
    </row>
    <row r="38" spans="1:16" x14ac:dyDescent="0.2">
      <c r="A38">
        <v>5909548</v>
      </c>
      <c r="F38">
        <v>25227486</v>
      </c>
      <c r="G38">
        <v>160715</v>
      </c>
      <c r="I38">
        <v>7990190</v>
      </c>
      <c r="J38">
        <v>52119</v>
      </c>
      <c r="L38">
        <v>8682364</v>
      </c>
      <c r="M38">
        <v>54954</v>
      </c>
      <c r="O38">
        <v>8270912</v>
      </c>
      <c r="P38">
        <v>51751</v>
      </c>
    </row>
    <row r="39" spans="1:16" x14ac:dyDescent="0.2">
      <c r="A39">
        <v>46003</v>
      </c>
      <c r="F39">
        <v>32981640</v>
      </c>
      <c r="G39">
        <v>267937</v>
      </c>
      <c r="I39">
        <v>10567204</v>
      </c>
      <c r="J39">
        <v>87061</v>
      </c>
      <c r="L39">
        <v>11314588</v>
      </c>
      <c r="M39">
        <v>91753</v>
      </c>
      <c r="O39">
        <v>10759780</v>
      </c>
      <c r="P39">
        <v>86195</v>
      </c>
    </row>
    <row r="40" spans="1:16" x14ac:dyDescent="0.2">
      <c r="A40" t="s">
        <v>56</v>
      </c>
      <c r="F40">
        <v>32299428</v>
      </c>
      <c r="G40">
        <v>202697</v>
      </c>
      <c r="I40">
        <v>10216736</v>
      </c>
      <c r="J40">
        <v>65707</v>
      </c>
      <c r="L40">
        <v>10960450</v>
      </c>
      <c r="M40">
        <v>68603</v>
      </c>
      <c r="O40">
        <v>10758284</v>
      </c>
      <c r="P40">
        <v>65974</v>
      </c>
    </row>
    <row r="41" spans="1:16" x14ac:dyDescent="0.2">
      <c r="A41" t="s">
        <v>50</v>
      </c>
    </row>
    <row r="42" spans="1:16" x14ac:dyDescent="0.2">
      <c r="A42">
        <v>25227486</v>
      </c>
    </row>
    <row r="43" spans="1:16" x14ac:dyDescent="0.2">
      <c r="A43">
        <v>160715</v>
      </c>
    </row>
    <row r="44" spans="1:16" x14ac:dyDescent="0.2">
      <c r="A44" t="s">
        <v>51</v>
      </c>
    </row>
    <row r="45" spans="1:16" x14ac:dyDescent="0.2">
      <c r="A45">
        <v>7990190</v>
      </c>
    </row>
    <row r="46" spans="1:16" x14ac:dyDescent="0.2">
      <c r="A46">
        <v>52119</v>
      </c>
    </row>
    <row r="47" spans="1:16" x14ac:dyDescent="0.2">
      <c r="A47" t="s">
        <v>52</v>
      </c>
    </row>
    <row r="48" spans="1:16" x14ac:dyDescent="0.2">
      <c r="A48">
        <v>8682364</v>
      </c>
    </row>
    <row r="49" spans="1:1" x14ac:dyDescent="0.2">
      <c r="A49">
        <v>54954</v>
      </c>
    </row>
    <row r="50" spans="1:1" x14ac:dyDescent="0.2">
      <c r="A50" t="s">
        <v>53</v>
      </c>
    </row>
    <row r="51" spans="1:1" x14ac:dyDescent="0.2">
      <c r="A51">
        <v>8270912</v>
      </c>
    </row>
    <row r="52" spans="1:1" x14ac:dyDescent="0.2">
      <c r="A52">
        <v>51751</v>
      </c>
    </row>
    <row r="53" spans="1:1" x14ac:dyDescent="0.2">
      <c r="A53" t="s">
        <v>57</v>
      </c>
    </row>
    <row r="54" spans="1:1" x14ac:dyDescent="0.2">
      <c r="A54" t="s">
        <v>50</v>
      </c>
    </row>
    <row r="55" spans="1:1" x14ac:dyDescent="0.2">
      <c r="A55">
        <v>32981640</v>
      </c>
    </row>
    <row r="56" spans="1:1" x14ac:dyDescent="0.2">
      <c r="A56">
        <v>267937</v>
      </c>
    </row>
    <row r="57" spans="1:1" x14ac:dyDescent="0.2">
      <c r="A57" t="s">
        <v>51</v>
      </c>
    </row>
    <row r="58" spans="1:1" x14ac:dyDescent="0.2">
      <c r="A58">
        <v>10567204</v>
      </c>
    </row>
    <row r="59" spans="1:1" x14ac:dyDescent="0.2">
      <c r="A59">
        <v>87061</v>
      </c>
    </row>
    <row r="60" spans="1:1" x14ac:dyDescent="0.2">
      <c r="A60" t="s">
        <v>52</v>
      </c>
    </row>
    <row r="61" spans="1:1" x14ac:dyDescent="0.2">
      <c r="A61">
        <v>11314588</v>
      </c>
    </row>
    <row r="62" spans="1:1" x14ac:dyDescent="0.2">
      <c r="A62">
        <v>91753</v>
      </c>
    </row>
    <row r="63" spans="1:1" x14ac:dyDescent="0.2">
      <c r="A63" t="s">
        <v>53</v>
      </c>
    </row>
    <row r="64" spans="1:1" x14ac:dyDescent="0.2">
      <c r="A64">
        <v>10759780</v>
      </c>
    </row>
    <row r="65" spans="1:1" x14ac:dyDescent="0.2">
      <c r="A65">
        <v>86195</v>
      </c>
    </row>
    <row r="66" spans="1:1" x14ac:dyDescent="0.2">
      <c r="A66" t="s">
        <v>58</v>
      </c>
    </row>
    <row r="67" spans="1:1" x14ac:dyDescent="0.2">
      <c r="A67" t="s">
        <v>50</v>
      </c>
    </row>
    <row r="68" spans="1:1" x14ac:dyDescent="0.2">
      <c r="A68">
        <v>32299428</v>
      </c>
    </row>
    <row r="69" spans="1:1" x14ac:dyDescent="0.2">
      <c r="A69">
        <v>202697</v>
      </c>
    </row>
    <row r="70" spans="1:1" x14ac:dyDescent="0.2">
      <c r="A70" t="s">
        <v>51</v>
      </c>
    </row>
    <row r="71" spans="1:1" x14ac:dyDescent="0.2">
      <c r="A71">
        <v>10216736</v>
      </c>
    </row>
    <row r="72" spans="1:1" x14ac:dyDescent="0.2">
      <c r="A72">
        <v>65707</v>
      </c>
    </row>
    <row r="73" spans="1:1" x14ac:dyDescent="0.2">
      <c r="A73" t="s">
        <v>52</v>
      </c>
    </row>
    <row r="74" spans="1:1" x14ac:dyDescent="0.2">
      <c r="A74">
        <v>10960450</v>
      </c>
    </row>
    <row r="75" spans="1:1" x14ac:dyDescent="0.2">
      <c r="A75">
        <v>68603</v>
      </c>
    </row>
    <row r="76" spans="1:1" x14ac:dyDescent="0.2">
      <c r="A76" t="s">
        <v>53</v>
      </c>
    </row>
    <row r="77" spans="1:1" x14ac:dyDescent="0.2">
      <c r="A77">
        <v>10758284</v>
      </c>
    </row>
    <row r="78" spans="1:1" x14ac:dyDescent="0.2">
      <c r="A78">
        <v>65974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Trimmomatic</vt:lpstr>
      <vt:lpstr>HISAT2</vt:lpstr>
      <vt:lpstr>STAR</vt:lpstr>
      <vt:lpstr>EAGLE-RC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2021-02-06T01:33:46Z</dcterms:modified>
</cp:coreProperties>
</file>