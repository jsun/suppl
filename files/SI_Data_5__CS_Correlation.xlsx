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research/wheat_tagseq/files/"/>
    </mc:Choice>
  </mc:AlternateContent>
  <xr:revisionPtr revIDLastSave="0" documentId="13_ncr:1_{26C0642B-A87B-D340-93FE-65DDE758CF11}" xr6:coauthVersionLast="45" xr6:coauthVersionMax="45" xr10:uidLastSave="{00000000-0000-0000-0000-000000000000}"/>
  <bookViews>
    <workbookView xWindow="520" yWindow="760" windowWidth="22560" windowHeight="15920" xr2:uid="{0A1B866E-BAB2-5B48-9BA1-056163FF4A88}"/>
  </bookViews>
  <sheets>
    <sheet name="Sheet1" sheetId="8" r:id="rId1"/>
    <sheet name="Sheet2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9" i="9" l="1"/>
  <c r="I19" i="9"/>
  <c r="H19" i="9"/>
  <c r="J18" i="9"/>
  <c r="I18" i="9"/>
  <c r="H18" i="9"/>
  <c r="D9" i="9"/>
  <c r="E9" i="9"/>
  <c r="D10" i="9"/>
  <c r="E10" i="9"/>
  <c r="C10" i="9"/>
  <c r="C9" i="9"/>
  <c r="J19" i="8"/>
  <c r="I19" i="8"/>
  <c r="H19" i="8"/>
  <c r="J18" i="8"/>
  <c r="I18" i="8"/>
  <c r="H18" i="8"/>
  <c r="E19" i="8"/>
  <c r="D19" i="8"/>
  <c r="C19" i="8"/>
  <c r="E18" i="8"/>
  <c r="D18" i="8"/>
  <c r="C18" i="8"/>
  <c r="J37" i="8"/>
  <c r="I37" i="8"/>
  <c r="H37" i="8"/>
  <c r="J36" i="8"/>
  <c r="I36" i="8"/>
  <c r="H36" i="8"/>
  <c r="E37" i="8"/>
  <c r="D37" i="8"/>
  <c r="C37" i="8"/>
  <c r="E36" i="8"/>
  <c r="D36" i="8"/>
  <c r="C36" i="8"/>
  <c r="E28" i="8"/>
  <c r="D28" i="8"/>
  <c r="C28" i="8"/>
  <c r="E27" i="8"/>
  <c r="D27" i="8"/>
  <c r="C27" i="8"/>
  <c r="J28" i="8"/>
  <c r="I28" i="8"/>
  <c r="H28" i="8"/>
  <c r="J27" i="8"/>
  <c r="I27" i="8"/>
  <c r="H27" i="8"/>
  <c r="J10" i="8"/>
  <c r="I10" i="8"/>
  <c r="H10" i="8"/>
  <c r="J9" i="8"/>
  <c r="I9" i="8"/>
  <c r="H9" i="8"/>
  <c r="D9" i="8"/>
  <c r="E9" i="8"/>
  <c r="D10" i="8"/>
  <c r="E10" i="8"/>
  <c r="C10" i="8"/>
  <c r="C9" i="8"/>
</calcChain>
</file>

<file path=xl/sharedStrings.xml><?xml version="1.0" encoding="utf-8"?>
<sst xmlns="http://schemas.openxmlformats.org/spreadsheetml/2006/main" count="108" uniqueCount="20">
  <si>
    <t>A</t>
  </si>
  <si>
    <t>B</t>
  </si>
  <si>
    <t>D</t>
  </si>
  <si>
    <t>replicate_1</t>
  </si>
  <si>
    <t>replicate_2</t>
  </si>
  <si>
    <t>replicate_3</t>
  </si>
  <si>
    <t>replicate_4</t>
  </si>
  <si>
    <t>replicate_5</t>
  </si>
  <si>
    <t>replicate_6</t>
  </si>
  <si>
    <t>mean</t>
  </si>
  <si>
    <t>s.d</t>
  </si>
  <si>
    <t>3'-end RNA-Seq (HISAT, IWGSC)</t>
  </si>
  <si>
    <t>3'-end RNA-Seq (HISAT, IWGSC+1k)</t>
  </si>
  <si>
    <t>paired-end RNA-Seq</t>
  </si>
  <si>
    <t>(EAGLE-RC, IWGSC+1k)</t>
  </si>
  <si>
    <t>(EAGLE-RC, IWGSC)</t>
  </si>
  <si>
    <t>(HISAT, IWGSC)</t>
  </si>
  <si>
    <t>(HISAT, IWGSC+1k)</t>
  </si>
  <si>
    <t>paired-end RNA-Seq (HISAT, IWGSC)</t>
  </si>
  <si>
    <t>paired-end RNA-Seq (HISAT, IWGSC+1k)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</si>
</sst>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83C8-4EB2-1D4E-B835-5F20FC64DC5F}">
  <dimension ref="A1:J37"/>
  <sheetViews>
    <sheetView tabSelected="1" workbookViewId="0">
      <selection activeCell="L13" sqref="L13"/>
    </sheetView>
  </sheetViews>
  <sheetFormatPr baseColWidth="10" defaultRowHeight="16" x14ac:dyDescent="0.2"/>
  <cols>
    <col min="1" max="1" width="25.6640625" customWidth="1"/>
    <col min="2" max="2" width="11.1640625" customWidth="1"/>
    <col min="6" max="6" width="3.83203125" customWidth="1"/>
  </cols>
  <sheetData>
    <row r="1" spans="1:10" x14ac:dyDescent="0.2">
      <c r="C1" s="2" t="s">
        <v>11</v>
      </c>
      <c r="D1" s="2"/>
      <c r="E1" s="2"/>
      <c r="F1" s="1"/>
      <c r="H1" s="2" t="s">
        <v>12</v>
      </c>
      <c r="I1" s="2"/>
      <c r="J1" s="2"/>
    </row>
    <row r="2" spans="1:10" x14ac:dyDescent="0.2">
      <c r="C2" s="1" t="s">
        <v>0</v>
      </c>
      <c r="D2" s="1" t="s">
        <v>1</v>
      </c>
      <c r="E2" s="1" t="s">
        <v>2</v>
      </c>
      <c r="F2" s="1"/>
      <c r="G2" s="1"/>
      <c r="H2" s="1" t="s">
        <v>0</v>
      </c>
      <c r="I2" s="1" t="s">
        <v>1</v>
      </c>
      <c r="J2" s="1" t="s">
        <v>2</v>
      </c>
    </row>
    <row r="3" spans="1:10" x14ac:dyDescent="0.2">
      <c r="A3" t="s">
        <v>13</v>
      </c>
      <c r="B3" t="s">
        <v>3</v>
      </c>
      <c r="C3" s="3">
        <v>0.74909789999999998</v>
      </c>
      <c r="D3" s="3">
        <v>0.75632330000000003</v>
      </c>
      <c r="E3" s="3">
        <v>0.76456020000000002</v>
      </c>
      <c r="G3" t="s">
        <v>3</v>
      </c>
      <c r="H3" s="3">
        <v>0.77188820000000002</v>
      </c>
      <c r="I3" s="3">
        <v>0.78524689999999997</v>
      </c>
      <c r="J3" s="3">
        <v>0.79205530000000002</v>
      </c>
    </row>
    <row r="4" spans="1:10" x14ac:dyDescent="0.2">
      <c r="A4" t="s">
        <v>15</v>
      </c>
      <c r="B4" t="s">
        <v>4</v>
      </c>
      <c r="C4" s="3">
        <v>0.74656849999999997</v>
      </c>
      <c r="D4" s="3">
        <v>0.75115160000000003</v>
      </c>
      <c r="E4" s="3">
        <v>0.7677792</v>
      </c>
      <c r="G4" t="s">
        <v>4</v>
      </c>
      <c r="H4" s="3">
        <v>0.78211310000000001</v>
      </c>
      <c r="I4" s="3">
        <v>0.77341610000000005</v>
      </c>
      <c r="J4" s="3">
        <v>0.78761829999999999</v>
      </c>
    </row>
    <row r="5" spans="1:10" x14ac:dyDescent="0.2">
      <c r="B5" t="s">
        <v>5</v>
      </c>
      <c r="C5" s="3">
        <v>0.80541160000000001</v>
      </c>
      <c r="D5" s="3">
        <v>0.81505649999999996</v>
      </c>
      <c r="E5" s="3">
        <v>0.8042996</v>
      </c>
      <c r="G5" t="s">
        <v>5</v>
      </c>
      <c r="H5" s="3">
        <v>0.83681859999999997</v>
      </c>
      <c r="I5" s="3">
        <v>0.83923619999999999</v>
      </c>
      <c r="J5" s="3">
        <v>0.83752249999999995</v>
      </c>
    </row>
    <row r="6" spans="1:10" x14ac:dyDescent="0.2">
      <c r="B6" t="s">
        <v>6</v>
      </c>
      <c r="C6" s="3">
        <v>0.70279780000000003</v>
      </c>
      <c r="D6" s="3">
        <v>0.73368259999999996</v>
      </c>
      <c r="E6" s="3">
        <v>0.72988540000000002</v>
      </c>
      <c r="G6" t="s">
        <v>6</v>
      </c>
      <c r="H6" s="3">
        <v>0.742807</v>
      </c>
      <c r="I6" s="3">
        <v>0.7599359</v>
      </c>
      <c r="J6" s="3">
        <v>0.7648701</v>
      </c>
    </row>
    <row r="7" spans="1:10" x14ac:dyDescent="0.2">
      <c r="B7" t="s">
        <v>7</v>
      </c>
      <c r="C7" s="3">
        <v>0.7837518</v>
      </c>
      <c r="D7" s="3">
        <v>0.79225440000000003</v>
      </c>
      <c r="E7" s="3">
        <v>0.80270189999999997</v>
      </c>
      <c r="G7" t="s">
        <v>7</v>
      </c>
      <c r="H7" s="3">
        <v>0.82081700000000002</v>
      </c>
      <c r="I7" s="3">
        <v>0.82296449999999999</v>
      </c>
      <c r="J7" s="3">
        <v>0.83596130000000002</v>
      </c>
    </row>
    <row r="8" spans="1:10" x14ac:dyDescent="0.2">
      <c r="B8" t="s">
        <v>8</v>
      </c>
      <c r="C8" s="3">
        <v>0.78128949999999997</v>
      </c>
      <c r="D8" s="3">
        <v>0.7855394</v>
      </c>
      <c r="E8" s="3">
        <v>0.77883440000000004</v>
      </c>
      <c r="G8" t="s">
        <v>8</v>
      </c>
      <c r="H8" s="3">
        <v>0.8161041</v>
      </c>
      <c r="I8" s="3">
        <v>0.82056050000000003</v>
      </c>
      <c r="J8" s="3">
        <v>0.81409640000000005</v>
      </c>
    </row>
    <row r="9" spans="1:10" x14ac:dyDescent="0.2">
      <c r="B9" t="s">
        <v>9</v>
      </c>
      <c r="C9" s="3">
        <f>AVERAGE(C3:C8)</f>
        <v>0.7614861833333334</v>
      </c>
      <c r="D9" s="3">
        <f t="shared" ref="D9:E9" si="0">AVERAGE(D3:D8)</f>
        <v>0.7723346333333333</v>
      </c>
      <c r="E9" s="3">
        <f t="shared" si="0"/>
        <v>0.77467678333333334</v>
      </c>
      <c r="G9" t="s">
        <v>9</v>
      </c>
      <c r="H9" s="3">
        <f>AVERAGE(H3:H8)</f>
        <v>0.79509133333333326</v>
      </c>
      <c r="I9" s="3">
        <f t="shared" ref="I9" si="1">AVERAGE(I3:I8)</f>
        <v>0.80022668333333336</v>
      </c>
      <c r="J9" s="3">
        <f t="shared" ref="J9" si="2">AVERAGE(J3:J8)</f>
        <v>0.8053539833333333</v>
      </c>
    </row>
    <row r="10" spans="1:10" x14ac:dyDescent="0.2">
      <c r="B10" t="s">
        <v>10</v>
      </c>
      <c r="C10" s="3">
        <f>STDEV(C3:C8)</f>
        <v>3.6435434522311738E-2</v>
      </c>
      <c r="D10" s="3">
        <f t="shared" ref="D10:E10" si="3">STDEV(D3:D8)</f>
        <v>3.0316280231497173E-2</v>
      </c>
      <c r="E10" s="3">
        <f t="shared" si="3"/>
        <v>2.7699798349043375E-2</v>
      </c>
      <c r="G10" t="s">
        <v>10</v>
      </c>
      <c r="H10" s="3">
        <f>STDEV(H3:H8)</f>
        <v>3.5454146502075977E-2</v>
      </c>
      <c r="I10" s="3">
        <f t="shared" ref="I10:J10" si="4">STDEV(I3:I8)</f>
        <v>3.1682055825240668E-2</v>
      </c>
      <c r="J10" s="3">
        <f t="shared" si="4"/>
        <v>2.8908149019570006E-2</v>
      </c>
    </row>
    <row r="11" spans="1:10" x14ac:dyDescent="0.2">
      <c r="C11" s="3"/>
      <c r="D11" s="3"/>
      <c r="E11" s="3"/>
      <c r="H11" s="3"/>
      <c r="I11" s="3"/>
      <c r="J11" s="3"/>
    </row>
    <row r="12" spans="1:10" x14ac:dyDescent="0.2">
      <c r="A12" t="s">
        <v>13</v>
      </c>
      <c r="B12" t="s">
        <v>3</v>
      </c>
      <c r="C12" s="3">
        <v>0.7419173</v>
      </c>
      <c r="D12" s="3">
        <v>0.74956339999999999</v>
      </c>
      <c r="E12" s="3">
        <v>0.76054440000000001</v>
      </c>
      <c r="G12" s="4" t="s">
        <v>3</v>
      </c>
      <c r="H12" s="5">
        <v>0.76560989999999995</v>
      </c>
      <c r="I12" s="5">
        <v>0.77916580000000002</v>
      </c>
      <c r="J12" s="5">
        <v>0.78799439999999998</v>
      </c>
    </row>
    <row r="13" spans="1:10" x14ac:dyDescent="0.2">
      <c r="A13" t="s">
        <v>14</v>
      </c>
      <c r="B13" t="s">
        <v>4</v>
      </c>
      <c r="C13" s="3">
        <v>0.74055369999999998</v>
      </c>
      <c r="D13" s="3">
        <v>0.73954450000000005</v>
      </c>
      <c r="E13" s="3">
        <v>0.76015359999999998</v>
      </c>
      <c r="G13" s="4" t="s">
        <v>4</v>
      </c>
      <c r="H13" s="5">
        <v>0.77714110000000003</v>
      </c>
      <c r="I13" s="5">
        <v>0.76195970000000002</v>
      </c>
      <c r="J13" s="5">
        <v>0.78054979999999996</v>
      </c>
    </row>
    <row r="14" spans="1:10" x14ac:dyDescent="0.2">
      <c r="B14" t="s">
        <v>5</v>
      </c>
      <c r="C14" s="3">
        <v>0.79751039999999995</v>
      </c>
      <c r="D14" s="3">
        <v>0.80651539999999999</v>
      </c>
      <c r="E14" s="3">
        <v>0.79489030000000005</v>
      </c>
      <c r="G14" s="4" t="s">
        <v>5</v>
      </c>
      <c r="H14" s="5">
        <v>0.82947870000000001</v>
      </c>
      <c r="I14" s="5">
        <v>0.83141580000000004</v>
      </c>
      <c r="J14" s="5">
        <v>0.82903749999999998</v>
      </c>
    </row>
    <row r="15" spans="1:10" x14ac:dyDescent="0.2">
      <c r="B15" t="s">
        <v>6</v>
      </c>
      <c r="C15" s="3">
        <v>0.69646889999999995</v>
      </c>
      <c r="D15" s="3">
        <v>0.72539549999999997</v>
      </c>
      <c r="E15" s="3">
        <v>0.72389590000000004</v>
      </c>
      <c r="G15" s="4" t="s">
        <v>6</v>
      </c>
      <c r="H15" s="5">
        <v>0.73759240000000004</v>
      </c>
      <c r="I15" s="5">
        <v>0.75276869999999996</v>
      </c>
      <c r="J15" s="5">
        <v>0.75934389999999996</v>
      </c>
    </row>
    <row r="16" spans="1:10" x14ac:dyDescent="0.2">
      <c r="B16" t="s">
        <v>7</v>
      </c>
      <c r="C16" s="3">
        <v>0.7765881</v>
      </c>
      <c r="D16" s="3">
        <v>0.78423699999999996</v>
      </c>
      <c r="E16" s="3">
        <v>0.79439979999999999</v>
      </c>
      <c r="G16" s="4" t="s">
        <v>7</v>
      </c>
      <c r="H16" s="5">
        <v>0.81487699999999996</v>
      </c>
      <c r="I16" s="5">
        <v>0.81509480000000001</v>
      </c>
      <c r="J16" s="5">
        <v>0.82874250000000005</v>
      </c>
    </row>
    <row r="17" spans="1:10" x14ac:dyDescent="0.2">
      <c r="B17" t="s">
        <v>8</v>
      </c>
      <c r="C17" s="3">
        <v>0.77560090000000004</v>
      </c>
      <c r="D17" s="3">
        <v>0.77625750000000004</v>
      </c>
      <c r="E17" s="3">
        <v>0.77136039999999995</v>
      </c>
      <c r="G17" s="4" t="s">
        <v>8</v>
      </c>
      <c r="H17" s="5">
        <v>0.81085249999999998</v>
      </c>
      <c r="I17" s="5">
        <v>0.81222709999999998</v>
      </c>
      <c r="J17" s="5">
        <v>0.80845429999999996</v>
      </c>
    </row>
    <row r="18" spans="1:10" x14ac:dyDescent="0.2">
      <c r="B18" t="s">
        <v>9</v>
      </c>
      <c r="C18" s="3">
        <f>AVERAGE(C12:C17)</f>
        <v>0.75477321666666664</v>
      </c>
      <c r="D18" s="3">
        <f t="shared" ref="D18" si="5">AVERAGE(D12:D17)</f>
        <v>0.76358555000000006</v>
      </c>
      <c r="E18" s="3">
        <f t="shared" ref="E18" si="6">AVERAGE(E12:E17)</f>
        <v>0.76754073333333339</v>
      </c>
      <c r="G18" s="4" t="s">
        <v>9</v>
      </c>
      <c r="H18" s="5">
        <f>AVERAGE(H12:H17)</f>
        <v>0.78925860000000003</v>
      </c>
      <c r="I18" s="5">
        <f t="shared" ref="I18" si="7">AVERAGE(I12:I17)</f>
        <v>0.79210531666666661</v>
      </c>
      <c r="J18" s="5">
        <f t="shared" ref="J18" si="8">AVERAGE(J12:J17)</f>
        <v>0.79902039999999996</v>
      </c>
    </row>
    <row r="19" spans="1:10" x14ac:dyDescent="0.2">
      <c r="B19" t="s">
        <v>10</v>
      </c>
      <c r="C19" s="3">
        <f>STDEV(C12:C17)</f>
        <v>3.6063862679109514E-2</v>
      </c>
      <c r="D19" s="3">
        <f t="shared" ref="D19:E19" si="9">STDEV(D12:D17)</f>
        <v>3.0538845491128178E-2</v>
      </c>
      <c r="E19" s="3">
        <f t="shared" si="9"/>
        <v>2.6428726825911734E-2</v>
      </c>
      <c r="G19" s="4" t="s">
        <v>10</v>
      </c>
      <c r="H19" s="5">
        <f>STDEV(H12:H17)</f>
        <v>3.4973551207047864E-2</v>
      </c>
      <c r="I19" s="5">
        <f t="shared" ref="I19:J19" si="10">STDEV(I12:I17)</f>
        <v>3.1944562338239467E-2</v>
      </c>
      <c r="J19" s="5">
        <f t="shared" si="10"/>
        <v>2.7965651727217107E-2</v>
      </c>
    </row>
    <row r="20" spans="1:10" x14ac:dyDescent="0.2">
      <c r="C20" s="3"/>
      <c r="D20" s="3"/>
      <c r="E20" s="3"/>
      <c r="H20" s="3"/>
      <c r="I20" s="3"/>
      <c r="J20" s="3"/>
    </row>
    <row r="21" spans="1:10" x14ac:dyDescent="0.2">
      <c r="A21" t="s">
        <v>13</v>
      </c>
      <c r="B21" t="s">
        <v>3</v>
      </c>
      <c r="C21" s="3">
        <v>0.7638703</v>
      </c>
      <c r="D21" s="3">
        <v>0.77061610000000003</v>
      </c>
      <c r="E21" s="3">
        <v>0.77614989999999995</v>
      </c>
      <c r="G21" t="s">
        <v>3</v>
      </c>
      <c r="H21" s="3">
        <v>0.79222979999999998</v>
      </c>
      <c r="I21" s="3">
        <v>0.80515389999999998</v>
      </c>
      <c r="J21" s="3">
        <v>0.80755569999999999</v>
      </c>
    </row>
    <row r="22" spans="1:10" x14ac:dyDescent="0.2">
      <c r="A22" t="s">
        <v>16</v>
      </c>
      <c r="B22" t="s">
        <v>4</v>
      </c>
      <c r="C22" s="3">
        <v>0.75692570000000003</v>
      </c>
      <c r="D22" s="3">
        <v>0.76668709999999995</v>
      </c>
      <c r="E22" s="3">
        <v>0.77844769999999996</v>
      </c>
      <c r="G22" t="s">
        <v>4</v>
      </c>
      <c r="H22" s="3">
        <v>0.79921699999999996</v>
      </c>
      <c r="I22" s="3">
        <v>0.79076800000000003</v>
      </c>
      <c r="J22" s="3">
        <v>0.80077350000000003</v>
      </c>
    </row>
    <row r="23" spans="1:10" x14ac:dyDescent="0.2">
      <c r="B23" t="s">
        <v>5</v>
      </c>
      <c r="C23" s="3">
        <v>0.82038599999999995</v>
      </c>
      <c r="D23" s="3">
        <v>0.82789990000000002</v>
      </c>
      <c r="E23" s="3">
        <v>0.8113612</v>
      </c>
      <c r="G23" t="s">
        <v>5</v>
      </c>
      <c r="H23" s="3">
        <v>0.8580449</v>
      </c>
      <c r="I23" s="3">
        <v>0.85725790000000002</v>
      </c>
      <c r="J23" s="3">
        <v>0.84883229999999998</v>
      </c>
    </row>
    <row r="24" spans="1:10" x14ac:dyDescent="0.2">
      <c r="B24" t="s">
        <v>6</v>
      </c>
      <c r="C24" s="3">
        <v>0.71623559999999997</v>
      </c>
      <c r="D24" s="3">
        <v>0.74495120000000004</v>
      </c>
      <c r="E24" s="3">
        <v>0.7428766</v>
      </c>
      <c r="G24" t="s">
        <v>6</v>
      </c>
      <c r="H24" s="3">
        <v>0.76167379999999996</v>
      </c>
      <c r="I24" s="3">
        <v>0.77636300000000003</v>
      </c>
      <c r="J24" s="3">
        <v>0.78300930000000002</v>
      </c>
    </row>
    <row r="25" spans="1:10" x14ac:dyDescent="0.2">
      <c r="B25" t="s">
        <v>7</v>
      </c>
      <c r="C25" s="3">
        <v>0.79456199999999999</v>
      </c>
      <c r="D25" s="3">
        <v>0.80908400000000003</v>
      </c>
      <c r="E25" s="3">
        <v>0.81240380000000001</v>
      </c>
      <c r="G25" t="s">
        <v>7</v>
      </c>
      <c r="H25" s="3">
        <v>0.84190039999999999</v>
      </c>
      <c r="I25" s="3">
        <v>0.84544140000000001</v>
      </c>
      <c r="J25" s="3">
        <v>0.85059799999999997</v>
      </c>
    </row>
    <row r="26" spans="1:10" x14ac:dyDescent="0.2">
      <c r="B26" t="s">
        <v>8</v>
      </c>
      <c r="C26" s="3">
        <v>0.79731830000000004</v>
      </c>
      <c r="D26" s="3">
        <v>0.79646240000000001</v>
      </c>
      <c r="E26" s="3">
        <v>0.79170700000000005</v>
      </c>
      <c r="G26" t="s">
        <v>8</v>
      </c>
      <c r="H26" s="3">
        <v>0.83916919999999995</v>
      </c>
      <c r="I26" s="3">
        <v>0.83569190000000004</v>
      </c>
      <c r="J26" s="3">
        <v>0.83193680000000003</v>
      </c>
    </row>
    <row r="27" spans="1:10" x14ac:dyDescent="0.2">
      <c r="B27" t="s">
        <v>9</v>
      </c>
      <c r="C27" s="3">
        <f>AVERAGE(C21:C26)</f>
        <v>0.77488298333333328</v>
      </c>
      <c r="D27" s="3">
        <f t="shared" ref="D27" si="11">AVERAGE(D21:D26)</f>
        <v>0.7859501166666667</v>
      </c>
      <c r="E27" s="3">
        <f t="shared" ref="E27" si="12">AVERAGE(E21:E26)</f>
        <v>0.78549103333333337</v>
      </c>
      <c r="G27" t="s">
        <v>9</v>
      </c>
      <c r="H27" s="3">
        <f>AVERAGE(H21:H26)</f>
        <v>0.81537251666666666</v>
      </c>
      <c r="I27" s="3">
        <f t="shared" ref="I27" si="13">AVERAGE(I21:I26)</f>
        <v>0.81844601666666661</v>
      </c>
      <c r="J27" s="3">
        <f t="shared" ref="J27" si="14">AVERAGE(J21:J26)</f>
        <v>0.8204509333333333</v>
      </c>
    </row>
    <row r="28" spans="1:10" x14ac:dyDescent="0.2">
      <c r="B28" t="s">
        <v>10</v>
      </c>
      <c r="C28" s="3">
        <f>STDEV(C21:C26)</f>
        <v>3.6998352523939036E-2</v>
      </c>
      <c r="D28" s="3">
        <f t="shared" ref="D28:E28" si="15">STDEV(D21:D26)</f>
        <v>3.0635195533073832E-2</v>
      </c>
      <c r="E28" s="3">
        <f t="shared" si="15"/>
        <v>2.6019438961412431E-2</v>
      </c>
      <c r="G28" t="s">
        <v>10</v>
      </c>
      <c r="H28" s="3">
        <f>STDEV(H21:H26)</f>
        <v>3.6799677325455825E-2</v>
      </c>
      <c r="I28" s="3">
        <f t="shared" ref="I28:J28" si="16">STDEV(I21:I26)</f>
        <v>3.2392180429814642E-2</v>
      </c>
      <c r="J28" s="3">
        <f t="shared" si="16"/>
        <v>2.7574035132832225E-2</v>
      </c>
    </row>
    <row r="29" spans="1:10" x14ac:dyDescent="0.2">
      <c r="C29" s="3"/>
      <c r="D29" s="3"/>
      <c r="E29" s="3"/>
      <c r="H29" s="3"/>
      <c r="I29" s="3"/>
      <c r="J29" s="3"/>
    </row>
    <row r="30" spans="1:10" x14ac:dyDescent="0.2">
      <c r="A30" t="s">
        <v>13</v>
      </c>
      <c r="B30" t="s">
        <v>3</v>
      </c>
      <c r="C30" s="3">
        <v>0.75352569999999996</v>
      </c>
      <c r="D30" s="3">
        <v>0.75823410000000002</v>
      </c>
      <c r="E30" s="3">
        <v>0.76680099999999995</v>
      </c>
      <c r="G30" t="s">
        <v>3</v>
      </c>
      <c r="H30" s="3">
        <v>0.78325100000000003</v>
      </c>
      <c r="I30" s="3">
        <v>0.79861190000000004</v>
      </c>
      <c r="J30" s="3">
        <v>0.80219870000000004</v>
      </c>
    </row>
    <row r="31" spans="1:10" x14ac:dyDescent="0.2">
      <c r="A31" t="s">
        <v>17</v>
      </c>
      <c r="B31" t="s">
        <v>4</v>
      </c>
      <c r="C31" s="3">
        <v>0.74792499999999995</v>
      </c>
      <c r="D31" s="3">
        <v>0.75304669999999996</v>
      </c>
      <c r="E31" s="3">
        <v>0.7686539</v>
      </c>
      <c r="G31" t="s">
        <v>4</v>
      </c>
      <c r="H31" s="3">
        <v>0.79228509999999996</v>
      </c>
      <c r="I31" s="3">
        <v>0.77991449999999996</v>
      </c>
      <c r="J31" s="3">
        <v>0.79309019999999997</v>
      </c>
    </row>
    <row r="32" spans="1:10" x14ac:dyDescent="0.2">
      <c r="B32" t="s">
        <v>5</v>
      </c>
      <c r="C32" s="3">
        <v>0.80995189999999995</v>
      </c>
      <c r="D32" s="3">
        <v>0.8169497</v>
      </c>
      <c r="E32" s="3">
        <v>0.79918560000000005</v>
      </c>
      <c r="G32" t="s">
        <v>5</v>
      </c>
      <c r="H32" s="3">
        <v>0.84962990000000005</v>
      </c>
      <c r="I32" s="3">
        <v>0.84890180000000004</v>
      </c>
      <c r="J32" s="3">
        <v>0.83864229999999995</v>
      </c>
    </row>
    <row r="33" spans="2:10" x14ac:dyDescent="0.2">
      <c r="B33" t="s">
        <v>6</v>
      </c>
      <c r="C33" s="3">
        <v>0.70672769999999996</v>
      </c>
      <c r="D33" s="3">
        <v>0.73140830000000001</v>
      </c>
      <c r="E33" s="3">
        <v>0.72750859999999995</v>
      </c>
      <c r="G33" t="s">
        <v>6</v>
      </c>
      <c r="H33" s="3">
        <v>0.75538859999999997</v>
      </c>
      <c r="I33" s="3">
        <v>0.76712990000000003</v>
      </c>
      <c r="J33" s="3">
        <v>0.77112389999999997</v>
      </c>
    </row>
    <row r="34" spans="2:10" x14ac:dyDescent="0.2">
      <c r="B34" t="s">
        <v>7</v>
      </c>
      <c r="C34" s="3">
        <v>0.78430529999999998</v>
      </c>
      <c r="D34" s="3">
        <v>0.79789739999999998</v>
      </c>
      <c r="E34" s="3">
        <v>0.79902519999999999</v>
      </c>
      <c r="G34" t="s">
        <v>7</v>
      </c>
      <c r="H34" s="3">
        <v>0.83464380000000005</v>
      </c>
      <c r="I34" s="3">
        <v>0.83681070000000002</v>
      </c>
      <c r="J34" s="3">
        <v>0.84111449999999999</v>
      </c>
    </row>
    <row r="35" spans="2:10" x14ac:dyDescent="0.2">
      <c r="B35" t="s">
        <v>8</v>
      </c>
      <c r="C35" s="3">
        <v>0.78789410000000004</v>
      </c>
      <c r="D35" s="3">
        <v>0.78541249999999996</v>
      </c>
      <c r="E35" s="3">
        <v>0.78008619999999995</v>
      </c>
      <c r="G35" t="s">
        <v>8</v>
      </c>
      <c r="H35" s="3">
        <v>0.83081170000000004</v>
      </c>
      <c r="I35" s="3">
        <v>0.82762780000000002</v>
      </c>
      <c r="J35" s="3">
        <v>0.82580019999999998</v>
      </c>
    </row>
    <row r="36" spans="2:10" x14ac:dyDescent="0.2">
      <c r="B36" t="s">
        <v>9</v>
      </c>
      <c r="C36" s="3">
        <f>AVERAGE(C30:C35)</f>
        <v>0.76505495000000001</v>
      </c>
      <c r="D36" s="3">
        <f t="shared" ref="D36" si="17">AVERAGE(D30:D35)</f>
        <v>0.77382478333333327</v>
      </c>
      <c r="E36" s="3">
        <f t="shared" ref="E36" si="18">AVERAGE(E30:E35)</f>
        <v>0.77354341666666659</v>
      </c>
      <c r="G36" t="s">
        <v>9</v>
      </c>
      <c r="H36" s="3">
        <f>AVERAGE(H30:H35)</f>
        <v>0.80766835000000003</v>
      </c>
      <c r="I36" s="3">
        <f t="shared" ref="I36" si="19">AVERAGE(I30:I35)</f>
        <v>0.8098327666666667</v>
      </c>
      <c r="J36" s="3">
        <f t="shared" ref="J36" si="20">AVERAGE(J30:J35)</f>
        <v>0.8119949666666666</v>
      </c>
    </row>
    <row r="37" spans="2:10" x14ac:dyDescent="0.2">
      <c r="B37" t="s">
        <v>10</v>
      </c>
      <c r="C37" s="3">
        <f>STDEV(C30:C35)</f>
        <v>3.6705219662263304E-2</v>
      </c>
      <c r="D37" s="3">
        <f t="shared" ref="D37:E37" si="21">STDEV(D30:D35)</f>
        <v>3.177256898775524E-2</v>
      </c>
      <c r="E37" s="3">
        <f t="shared" si="21"/>
        <v>2.6601589286989379E-2</v>
      </c>
      <c r="G37" t="s">
        <v>10</v>
      </c>
      <c r="H37" s="3">
        <f>STDEV(H30:H35)</f>
        <v>3.6304503445096212E-2</v>
      </c>
      <c r="I37" s="3">
        <f t="shared" ref="I37:J37" si="22">STDEV(I30:I35)</f>
        <v>3.291020150200645E-2</v>
      </c>
      <c r="J37" s="3">
        <f t="shared" si="22"/>
        <v>2.7829528190443088E-2</v>
      </c>
    </row>
  </sheetData>
  <mergeCells count="2">
    <mergeCell ref="C1:E1"/>
    <mergeCell ref="H1: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F473-8BE9-5241-BE46-DC721337E2F7}">
  <dimension ref="A1:J19"/>
  <sheetViews>
    <sheetView workbookViewId="0">
      <selection activeCell="H9" sqref="H9"/>
    </sheetView>
  </sheetViews>
  <sheetFormatPr baseColWidth="10" defaultRowHeight="16" x14ac:dyDescent="0.2"/>
  <cols>
    <col min="1" max="1" width="19" customWidth="1"/>
    <col min="3" max="5" width="15" customWidth="1"/>
    <col min="6" max="6" width="5.33203125" customWidth="1"/>
    <col min="7" max="9" width="13.33203125" customWidth="1"/>
  </cols>
  <sheetData>
    <row r="1" spans="1:10" x14ac:dyDescent="0.2">
      <c r="C1" s="2" t="s">
        <v>18</v>
      </c>
      <c r="D1" s="2"/>
      <c r="E1" s="2"/>
      <c r="G1" s="2" t="s">
        <v>19</v>
      </c>
      <c r="H1" s="2"/>
      <c r="I1" s="2"/>
    </row>
    <row r="2" spans="1:10" x14ac:dyDescent="0.2">
      <c r="C2" s="1" t="s">
        <v>0</v>
      </c>
      <c r="D2" s="1" t="s">
        <v>1</v>
      </c>
      <c r="E2" s="1" t="s">
        <v>2</v>
      </c>
      <c r="G2" s="1" t="s">
        <v>0</v>
      </c>
      <c r="H2" s="1" t="s">
        <v>1</v>
      </c>
      <c r="I2" s="1" t="s">
        <v>2</v>
      </c>
    </row>
    <row r="3" spans="1:10" x14ac:dyDescent="0.2">
      <c r="A3" t="s">
        <v>13</v>
      </c>
      <c r="B3" t="s">
        <v>3</v>
      </c>
      <c r="C3" s="3">
        <v>0.95911409999999997</v>
      </c>
      <c r="D3" s="3">
        <v>0.96904500000000005</v>
      </c>
      <c r="E3" s="3">
        <v>0.9772651</v>
      </c>
    </row>
    <row r="4" spans="1:10" x14ac:dyDescent="0.2">
      <c r="A4" t="s">
        <v>15</v>
      </c>
      <c r="B4" t="s">
        <v>4</v>
      </c>
      <c r="C4" s="3">
        <v>0.95764329999999998</v>
      </c>
      <c r="D4" s="3">
        <v>0.96713890000000002</v>
      </c>
      <c r="E4" s="3">
        <v>0.97546600000000006</v>
      </c>
    </row>
    <row r="5" spans="1:10" x14ac:dyDescent="0.2">
      <c r="B5" t="s">
        <v>5</v>
      </c>
      <c r="C5" s="3">
        <v>0.96302449999999995</v>
      </c>
      <c r="D5" s="3">
        <v>0.97287970000000001</v>
      </c>
      <c r="E5" s="3">
        <v>0.97862729999999998</v>
      </c>
    </row>
    <row r="6" spans="1:10" x14ac:dyDescent="0.2">
      <c r="B6" t="s">
        <v>6</v>
      </c>
      <c r="C6" s="3">
        <v>0.95735340000000002</v>
      </c>
      <c r="D6" s="3">
        <v>0.96380880000000002</v>
      </c>
      <c r="E6" s="3">
        <v>0.97377139999999995</v>
      </c>
    </row>
    <row r="7" spans="1:10" x14ac:dyDescent="0.2">
      <c r="B7" t="s">
        <v>7</v>
      </c>
      <c r="C7" s="3">
        <v>0.95883110000000005</v>
      </c>
      <c r="D7" s="3">
        <v>0.96744390000000002</v>
      </c>
      <c r="E7" s="3">
        <v>0.97255829999999999</v>
      </c>
    </row>
    <row r="8" spans="1:10" x14ac:dyDescent="0.2">
      <c r="B8" t="s">
        <v>8</v>
      </c>
      <c r="C8" s="3">
        <v>0.96133190000000002</v>
      </c>
      <c r="D8" s="3">
        <v>0.96887120000000004</v>
      </c>
      <c r="E8" s="3">
        <v>0.97542459999999997</v>
      </c>
    </row>
    <row r="9" spans="1:10" x14ac:dyDescent="0.2">
      <c r="B9" t="s">
        <v>9</v>
      </c>
      <c r="C9" s="3">
        <f>AVERAGE(C3:C8)</f>
        <v>0.95954971666666677</v>
      </c>
      <c r="D9" s="3">
        <f t="shared" ref="D9:E9" si="0">AVERAGE(D3:D8)</f>
        <v>0.96819791666666666</v>
      </c>
      <c r="E9" s="3">
        <f t="shared" si="0"/>
        <v>0.97551878333333342</v>
      </c>
    </row>
    <row r="10" spans="1:10" x14ac:dyDescent="0.2">
      <c r="B10" t="s">
        <v>10</v>
      </c>
      <c r="C10" s="3">
        <f>STDEV(C3:C8)</f>
        <v>2.2097375341127287E-3</v>
      </c>
      <c r="D10" s="3">
        <f t="shared" ref="D10:E10" si="1">STDEV(D3:D8)</f>
        <v>2.9679743377709089E-3</v>
      </c>
      <c r="E10" s="3">
        <f t="shared" si="1"/>
        <v>2.2154893106640541E-3</v>
      </c>
    </row>
    <row r="12" spans="1:10" x14ac:dyDescent="0.2">
      <c r="A12" t="s">
        <v>13</v>
      </c>
      <c r="G12" t="s">
        <v>3</v>
      </c>
      <c r="H12" s="3">
        <v>0.95415430000000001</v>
      </c>
      <c r="I12" s="3">
        <v>0.96549309999999999</v>
      </c>
      <c r="J12" s="3">
        <v>0.97353889999999998</v>
      </c>
    </row>
    <row r="13" spans="1:10" x14ac:dyDescent="0.2">
      <c r="A13" t="s">
        <v>14</v>
      </c>
      <c r="G13" t="s">
        <v>4</v>
      </c>
      <c r="H13" s="3">
        <v>0.95461629999999997</v>
      </c>
      <c r="I13" s="3">
        <v>0.96334310000000001</v>
      </c>
      <c r="J13" s="3">
        <v>0.97217500000000001</v>
      </c>
    </row>
    <row r="14" spans="1:10" x14ac:dyDescent="0.2">
      <c r="G14" t="s">
        <v>5</v>
      </c>
      <c r="H14" s="3">
        <v>0.95941330000000002</v>
      </c>
      <c r="I14" s="3">
        <v>0.96985120000000002</v>
      </c>
      <c r="J14" s="3">
        <v>0.97606839999999995</v>
      </c>
    </row>
    <row r="15" spans="1:10" x14ac:dyDescent="0.2">
      <c r="G15" t="s">
        <v>6</v>
      </c>
      <c r="H15" s="3">
        <v>0.95190770000000002</v>
      </c>
      <c r="I15" s="3">
        <v>0.95925970000000005</v>
      </c>
      <c r="J15" s="3">
        <v>0.9695819</v>
      </c>
    </row>
    <row r="16" spans="1:10" x14ac:dyDescent="0.2">
      <c r="G16" t="s">
        <v>7</v>
      </c>
      <c r="H16" s="3">
        <v>0.95521990000000001</v>
      </c>
      <c r="I16" s="3">
        <v>0.96408760000000004</v>
      </c>
      <c r="J16" s="3">
        <v>0.96907730000000003</v>
      </c>
    </row>
    <row r="17" spans="7:10" x14ac:dyDescent="0.2">
      <c r="G17" t="s">
        <v>8</v>
      </c>
      <c r="H17" s="3">
        <v>0.958117</v>
      </c>
      <c r="I17" s="3">
        <v>0.96624270000000001</v>
      </c>
      <c r="J17" s="3">
        <v>0.97272440000000004</v>
      </c>
    </row>
    <row r="18" spans="7:10" x14ac:dyDescent="0.2">
      <c r="G18" t="s">
        <v>9</v>
      </c>
      <c r="H18" s="3">
        <f>AVERAGE(H12:H17)</f>
        <v>0.95557141666666656</v>
      </c>
      <c r="I18" s="3">
        <f t="shared" ref="I18" si="2">AVERAGE(I12:I17)</f>
        <v>0.96471289999999998</v>
      </c>
      <c r="J18" s="3">
        <f t="shared" ref="J18" si="3">AVERAGE(J12:J17)</f>
        <v>0.97219431666666667</v>
      </c>
    </row>
    <row r="19" spans="7:10" x14ac:dyDescent="0.2">
      <c r="G19" t="s">
        <v>10</v>
      </c>
      <c r="H19" s="3">
        <f>STDEV(H12:H17)</f>
        <v>2.7461578005764107E-3</v>
      </c>
      <c r="I19" s="3">
        <f t="shared" ref="I19:J19" si="4">STDEV(I12:I17)</f>
        <v>3.5030235323217475E-3</v>
      </c>
      <c r="J19" s="3">
        <f t="shared" si="4"/>
        <v>2.5937733605052218E-3</v>
      </c>
    </row>
  </sheetData>
  <mergeCells count="2">
    <mergeCell ref="C1:E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2020-06-05T12:10:46Z</dcterms:modified>
</cp:coreProperties>
</file>